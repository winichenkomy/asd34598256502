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wmy\at-consulting.com\задание Наиде\Файлы с процедурами\"/>
    </mc:Choice>
  </mc:AlternateContent>
  <bookViews>
    <workbookView xWindow="0" yWindow="0" windowWidth="20490" windowHeight="9630" activeTab="1"/>
  </bookViews>
  <sheets>
    <sheet name="Лист1" sheetId="1" r:id="rId1"/>
    <sheet name="Диаграмма" sheetId="2" r:id="rId2"/>
    <sheet name="таблицаЗависимостей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C2" i="3" l="1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2" i="3"/>
  <c r="L4" i="1"/>
  <c r="M4" i="1" l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3" i="1"/>
  <c r="M5" i="1"/>
</calcChain>
</file>

<file path=xl/comments1.xml><?xml version="1.0" encoding="utf-8"?>
<comments xmlns="http://schemas.openxmlformats.org/spreadsheetml/2006/main">
  <authors>
    <author>ℕ𝕊𝕙𝕒𝕘𝕦𝕖𝕧𝕒</author>
  </authors>
  <commentList>
    <comment ref="J2" authorId="0" shapeId="0">
      <text>
        <r>
          <rPr>
            <sz val="9"/>
            <color indexed="81"/>
            <rFont val="Tahoma"/>
            <family val="2"/>
            <charset val="204"/>
          </rPr>
          <t>"Колонки содержат используемые таблицы с их алиасами для разбора формул. Они НЕЗАВИСИМЫ от колонки Артибут вых"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  <charset val="204"/>
          </rPr>
          <t>ℕ𝕊𝕙𝕒𝕘𝕦𝕖𝕧𝕒:</t>
        </r>
        <r>
          <rPr>
            <sz val="9"/>
            <color indexed="81"/>
            <rFont val="Tahoma"/>
            <family val="2"/>
            <charset val="204"/>
          </rPr>
          <t xml:space="preserve">
@FX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  <charset val="204"/>
          </rPr>
          <t>ℕ𝕊𝕙𝕒𝕘𝕦𝕖𝕧𝕒:</t>
        </r>
        <r>
          <rPr>
            <sz val="9"/>
            <color indexed="81"/>
            <rFont val="Tahoma"/>
            <family val="2"/>
            <charset val="204"/>
          </rPr>
          <t xml:space="preserve">
@FW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  <charset val="204"/>
          </rPr>
          <t>ℕ𝕊𝕙𝕒𝕘𝕦𝕖𝕧𝕒:</t>
        </r>
        <r>
          <rPr>
            <sz val="9"/>
            <color indexed="81"/>
            <rFont val="Tahoma"/>
            <family val="2"/>
            <charset val="204"/>
          </rPr>
          <t xml:space="preserve">
@OP</t>
        </r>
      </text>
    </comment>
    <comment ref="B12" authorId="0" shapeId="0">
      <text>
        <r>
          <rPr>
            <b/>
            <sz val="9"/>
            <color indexed="81"/>
            <rFont val="Tahoma"/>
            <family val="2"/>
            <charset val="204"/>
          </rPr>
          <t>ℕ𝕊𝕙𝕒𝕘𝕦𝕖𝕧𝕒:</t>
        </r>
        <r>
          <rPr>
            <sz val="9"/>
            <color indexed="81"/>
            <rFont val="Tahoma"/>
            <family val="2"/>
            <charset val="204"/>
          </rPr>
          <t xml:space="preserve">
@NC
</t>
        </r>
      </text>
    </comment>
    <comment ref="B49" authorId="0" shapeId="0">
      <text>
        <r>
          <rPr>
            <b/>
            <sz val="9"/>
            <color indexed="81"/>
            <rFont val="Tahoma"/>
            <family val="2"/>
            <charset val="204"/>
          </rPr>
          <t>ℕ𝕊𝕙𝕒𝕘𝕦𝕖𝕧𝕒:</t>
        </r>
        <r>
          <rPr>
            <sz val="9"/>
            <color indexed="81"/>
            <rFont val="Tahoma"/>
            <family val="2"/>
            <charset val="204"/>
          </rPr>
          <t xml:space="preserve">
@IRS_Deals
</t>
        </r>
      </text>
    </comment>
    <comment ref="B52" authorId="0" shapeId="0">
      <text>
        <r>
          <rPr>
            <b/>
            <sz val="9"/>
            <color indexed="81"/>
            <rFont val="Tahoma"/>
            <family val="2"/>
            <charset val="204"/>
          </rPr>
          <t>ℕ𝕊𝕙𝕒𝕘𝕦𝕖𝕧𝕒:</t>
        </r>
        <r>
          <rPr>
            <sz val="9"/>
            <color indexed="81"/>
            <rFont val="Tahoma"/>
            <family val="2"/>
            <charset val="204"/>
          </rPr>
          <t xml:space="preserve">
@CIRS_Deals</t>
        </r>
      </text>
    </comment>
    <comment ref="B55" authorId="0" shapeId="0">
      <text>
        <r>
          <rPr>
            <b/>
            <sz val="9"/>
            <color indexed="81"/>
            <rFont val="Tahoma"/>
            <family val="2"/>
            <charset val="204"/>
          </rPr>
          <t>ℕ𝕊𝕙𝕒𝕘𝕦𝕖𝕧𝕒:</t>
        </r>
        <r>
          <rPr>
            <sz val="9"/>
            <color indexed="81"/>
            <rFont val="Tahoma"/>
            <family val="2"/>
            <charset val="204"/>
          </rPr>
          <t xml:space="preserve">
@OIS_Deals</t>
        </r>
      </text>
    </comment>
    <comment ref="B58" authorId="0" shapeId="0">
      <text>
        <r>
          <rPr>
            <b/>
            <sz val="9"/>
            <color indexed="81"/>
            <rFont val="Tahoma"/>
            <family val="2"/>
            <charset val="204"/>
          </rPr>
          <t>ℕ𝕊𝕙𝕒𝕘𝕦𝕖𝕧𝕒:</t>
        </r>
        <r>
          <rPr>
            <sz val="9"/>
            <color indexed="81"/>
            <rFont val="Tahoma"/>
            <family val="2"/>
            <charset val="204"/>
          </rPr>
          <t xml:space="preserve">
@CPFL_Deals
</t>
        </r>
      </text>
    </comment>
    <comment ref="B61" authorId="0" shapeId="0">
      <text>
        <r>
          <rPr>
            <b/>
            <sz val="9"/>
            <color indexed="81"/>
            <rFont val="Tahoma"/>
            <family val="2"/>
            <charset val="204"/>
          </rPr>
          <t>ℕ𝕊𝕙𝕒𝕘𝕦𝕖𝕧𝕒:</t>
        </r>
        <r>
          <rPr>
            <sz val="9"/>
            <color indexed="81"/>
            <rFont val="Tahoma"/>
            <family val="2"/>
            <charset val="204"/>
          </rPr>
          <t xml:space="preserve">
@CDS_Deals
</t>
        </r>
      </text>
    </comment>
    <comment ref="E6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: </t>
        </r>
        <r>
          <rPr>
            <sz val="9"/>
            <color indexed="81"/>
            <rFont val="Tahoma"/>
            <family val="2"/>
            <charset val="204"/>
          </rPr>
          <t xml:space="preserve">pMMDeal D WITH (NOLOCK) ON D.SPID   = @SPID
AND D.Step   = 1
AND </t>
        </r>
        <r>
          <rPr>
            <b/>
            <sz val="9"/>
            <color indexed="81"/>
            <rFont val="Tahoma"/>
            <family val="2"/>
            <charset val="204"/>
          </rPr>
          <t>D.DealID = T.DealID</t>
        </r>
      </text>
    </comment>
  </commentList>
</comments>
</file>

<file path=xl/sharedStrings.xml><?xml version="1.0" encoding="utf-8"?>
<sst xmlns="http://schemas.openxmlformats.org/spreadsheetml/2006/main" count="651" uniqueCount="211">
  <si>
    <t>Процедура</t>
  </si>
  <si>
    <t>Фильтр</t>
  </si>
  <si>
    <t>Бизнес значение</t>
  </si>
  <si>
    <t>Таблица Вх</t>
  </si>
  <si>
    <t>Атрибут Вых</t>
  </si>
  <si>
    <t>Таблица Вых</t>
  </si>
  <si>
    <t>Строка</t>
  </si>
  <si>
    <t>pFXMark</t>
  </si>
  <si>
    <t xml:space="preserve">       SPID</t>
  </si>
  <si>
    <t xml:space="preserve">DealID </t>
  </si>
  <si>
    <t>fx_AllDeal</t>
  </si>
  <si>
    <t>SPID</t>
  </si>
  <si>
    <t>IncName</t>
  </si>
  <si>
    <t>DealID</t>
  </si>
  <si>
    <t>TypeOfDeal</t>
  </si>
  <si>
    <t>PFI</t>
  </si>
  <si>
    <t>Bicurrency</t>
  </si>
  <si>
    <t>MarketSum</t>
  </si>
  <si>
    <t>CBRCourse</t>
  </si>
  <si>
    <t>DateBuy</t>
  </si>
  <si>
    <t>SumBuy</t>
  </si>
  <si>
    <t>CrnBuy</t>
  </si>
  <si>
    <t>DateSell</t>
  </si>
  <si>
    <t>SumSell</t>
  </si>
  <si>
    <t>CrnSell</t>
  </si>
  <si>
    <t>MarketCourse</t>
  </si>
  <si>
    <t>MarketCost</t>
  </si>
  <si>
    <t>CurrentCreditRisk</t>
  </si>
  <si>
    <t>Term</t>
  </si>
  <si>
    <t>TermDate</t>
  </si>
  <si>
    <t>StructureID</t>
  </si>
  <si>
    <t>RiskFactor-</t>
  </si>
  <si>
    <t>PotentialCreditRisk</t>
  </si>
  <si>
    <t>InstitutionID</t>
  </si>
  <si>
    <t>IsNetting</t>
  </si>
  <si>
    <t>Rest52601</t>
  </si>
  <si>
    <t>Rest52602</t>
  </si>
  <si>
    <t>ClientID</t>
  </si>
  <si>
    <t>IBrief</t>
  </si>
  <si>
    <t>ICountryID</t>
  </si>
  <si>
    <t>DealType</t>
  </si>
  <si>
    <t>DNote</t>
  </si>
  <si>
    <t>CZV</t>
  </si>
  <si>
    <t>#tCreditRisk</t>
  </si>
  <si>
    <t>pFXDeal</t>
  </si>
  <si>
    <t>CASE
WHEN D.Crn1 IN ('RUR','RUB') OR D.Crn2 IN ('RUR','RUB') THEN 0
ELSE  1
END</t>
  </si>
  <si>
    <t xml:space="preserve">CASE
WHEN D.Crn1 IN ('RUR','RUB') THEN ABS(D.Sum2)
WHEN D.Crn2 IN ('RUR','RUB') THEN ABS(D.Sum1)
ELSE    R.SumBuy --Сумма требований
END  </t>
  </si>
  <si>
    <t>CASE
WHEN D.Crn1 IN ('RUR','RUB')   THEN dbo.fs_GetCBCourse(D.Crn2ID,D.DealDate,NULL)
WHEN D.Crn2 IN ('RUR','RUB') THEN dbo.fs_GetCBCourse(D.Crn1ID,D.DealDate,NULL)
ELSE                              dbo.fs_GetCBCourse(R.CrnBuyID,D.DealDate,NULL)
END</t>
  </si>
  <si>
    <t>NominalCost</t>
  </si>
  <si>
    <t xml:space="preserve"> CONVERT(MONEY,0)   </t>
  </si>
  <si>
    <t xml:space="preserve">CONVERT(MONEY,0) </t>
  </si>
  <si>
    <t>WHERE
       D.SPID        = @@spid
AND    C.Type        = 3                -- FORWARD (срочные сделки)
AND    R.MinValue   &lt;&gt; D.DealDate       -- Дата валютирования не равна ближней дате валютирования
AND    E.EA_Project &lt;&gt; 'ИНКАССО'        -- Не инкассо</t>
  </si>
  <si>
    <r>
      <t xml:space="preserve">Атрибут Вх      </t>
    </r>
    <r>
      <rPr>
        <sz val="11"/>
        <color theme="1"/>
        <rFont val="Calibri"/>
        <family val="2"/>
        <charset val="204"/>
        <scheme val="minor"/>
      </rPr>
      <t>(или формула)</t>
    </r>
  </si>
  <si>
    <t xml:space="preserve">      Type</t>
  </si>
  <si>
    <t xml:space="preserve">      ID</t>
  </si>
  <si>
    <t>алиас</t>
  </si>
  <si>
    <t>Таблица используемая</t>
  </si>
  <si>
    <t>D</t>
  </si>
  <si>
    <t>@@SPID</t>
  </si>
  <si>
    <t>'FX'</t>
  </si>
  <si>
    <t xml:space="preserve">pFXDeal </t>
  </si>
  <si>
    <t>R</t>
  </si>
  <si>
    <t>pFXDealDerived</t>
  </si>
  <si>
    <t>@@spid</t>
  </si>
  <si>
    <t>WHERE
D.InstrumentType = 4
AND M.Brief IN ('RU','RS','FX','FS','STP')
AND D.DealDate &lt;@DateS  --Заключена до отчётной даты
AND    (
  D.DateFund1&gt;=@DateS
OR
  D.DateFund2&gt;=@DateS
       ) --Рассчёты по какой-либо валюте после отчётной даты
AND D.InstitutionID &lt;&gt; 10095014431 --не ЦБ РФ
AND D.FundID1 &lt;&gt; D.FundID2 --Валюта покупки &lt;&gt; валюте продажи
AND    NOT(                                    --Не евровалюта против евро
          EXISTS(
                SELECT 1
                FROM   pCourseXXXEUR
                WHERE  CrnID = D.FundID1
                )
          AND
          D.FundID2 = 10090001224              --EUR
          )
AND    NOT EXISTS
                (
                SELECT 1
                FROM   tObjClsRelation O (NOLOCK)
                WHERE
                       O.ObjectID        = D.InstitutionID
                AND    O.ObjType         = 1
                AND    O.ObjClassifierID IN (
10000001465,
10000001466,
10000001467,
10000001459
                                            )
              )  --Не структура СБ РФ.
AND    (--Не попадают опционы без премии
       (
       D.InstrumentID IN (10000001297,10000001296)
       AND
       D.PremiumQty    &lt;&gt;0
       )
       OR
       (
       D.InstrumentID NOT IN (10000001297,10000001296)
       )
       )--Не попадают опционы без премии
AND    D.DealID NOT IN(
                      10003707621                 --Беднякова 03.07.2014
                      )                           --Исключения
END</t>
  </si>
  <si>
    <t>№</t>
  </si>
  <si>
    <t>Имя инклюда</t>
  </si>
  <si>
    <t>Идентификатор сделки</t>
  </si>
  <si>
    <t>Тип сделки</t>
  </si>
  <si>
    <t>Признак ПФИ</t>
  </si>
  <si>
    <t>Признак бивалютной сделки 1 - бивалютная иначе 0</t>
  </si>
  <si>
    <t>Сумма котируемой валюты для сделок вал/руб</t>
  </si>
  <si>
    <t>Курс ЦБ для фин. инструментта - вал/руб, вал/вал - курс ЦБ по требованиям на дату сделки</t>
  </si>
  <si>
    <t>CASE
WHEN D.InstrumentID  IN (10000001779) THEN 'CNC'
WHEN D.InterfaceType =   4 THEN 'FX'
WHEN D.InterfaceType =  94 THEN 'MX'  --ДМ
WHEN D.InterfaceType =  13 THEN 'SW'
WHEN D.InterfaceType = 107 THEN 'SW'  --ДМ
WHEN D.InterfaceType =  11 THEN 'FW'
WHEN D.InterfaceType =  15 THEN CASE
   WHEN DealType = -1
                THEN 'OPS'
     ELSE      'OPB'
     END
WHEN D.InterfaceType = 115 THEN CASE
    WHEN DealType = -1
       THEN 'OPS'
ELSE      'OPB'
END  --ДМ
ELSE  '??'
END</t>
  </si>
  <si>
    <t>Валюта покупки</t>
  </si>
  <si>
    <t>Номинальная стоимость</t>
  </si>
  <si>
    <t>Рыночный курс (пустое для вал/вал)</t>
  </si>
  <si>
    <t>Рыночная стоимость (пустое для вал/вал)</t>
  </si>
  <si>
    <t>Текущий кредитный риск</t>
  </si>
  <si>
    <t>Срок по которому определяется коэффициент</t>
  </si>
  <si>
    <t>Дата завершения сделки</t>
  </si>
  <si>
    <t>ID в структурной таблице</t>
  </si>
  <si>
    <t>Коэффициент риска</t>
  </si>
  <si>
    <t>Потенциальный кредитный риск</t>
  </si>
  <si>
    <t>Контрагент</t>
  </si>
  <si>
    <t>Признак</t>
  </si>
  <si>
    <t>Остаток на счете 52601</t>
  </si>
  <si>
    <t>Остаток на счете 52602</t>
  </si>
  <si>
    <t>Идентификатор контрагента</t>
  </si>
  <si>
    <t>тип финансового института 0 - юр./1 - банк</t>
  </si>
  <si>
    <t>Клиент</t>
  </si>
  <si>
    <t>Идентификатор страны контрагента</t>
  </si>
  <si>
    <t>тип сделки 0 - пок/1 - прод</t>
  </si>
  <si>
    <t>Примечание к сделке</t>
  </si>
  <si>
    <t>ЦЗВ</t>
  </si>
  <si>
    <t>CASE
WHEN D.Crn1 IN ('RUR','RUB') THEN
CASE
WHEN dbo.fs_GetCBCourse(D.Crn2ID,DATEADD(DD,-1,@DateS),10095009227) IN (0,1) THEN dbo.fs_GetCBCourse(D.Crn2ID,DATEADD(DD,-1,@DateS),NULL)
ELSE                                                           dbo.fs_GetCBCourse(D.Crn2ID,DATEADD(DD,-1,@DateS),10095009227)
END
WHEN D.Crn2 IN ('RUR','RUB') THEN
CASE
WHEN dbo.fs_GetCBCourse(D.Crn1ID,DATEADD(DD,-1,@DateS),10095009227) IN (0,1) THEN dbo.fs_GetCBCourse(D.Crn1ID,DATEADD(DD,-1,@DateS),NULL)
ELSE                                                           dbo.fs_GetCBCourse(D.Crn1ID,DATEADD(DD,-1,@DateS),10095009227)
END
ELSE   0 --Сумма требований
END</t>
  </si>
  <si>
    <t>dbo.fs_DealLength(
 1,        --Календарь по которому определяем кол-во рабочих дней
 @DateRest, --20140212--@DateS,  --20140212--D.DealDate, --Дата первая
 R.MaxValue    --Дата вторая
                                                 )</t>
  </si>
  <si>
    <t>MaxValue</t>
  </si>
  <si>
    <t>pFXDealCursor</t>
  </si>
  <si>
    <t>C</t>
  </si>
  <si>
    <t>pFXDealExtAttr</t>
  </si>
  <si>
    <t>E</t>
  </si>
  <si>
    <t>tSBRFFairValueFX</t>
  </si>
  <si>
    <t>V</t>
  </si>
  <si>
    <t xml:space="preserve">  fx_AllDeal </t>
  </si>
  <si>
    <t xml:space="preserve">pFXDealInstrument </t>
  </si>
  <si>
    <t xml:space="preserve">F </t>
  </si>
  <si>
    <t xml:space="preserve">        tInstrument </t>
  </si>
  <si>
    <t>M</t>
  </si>
  <si>
    <t xml:space="preserve">CONVERT(MONEY,0)  </t>
  </si>
  <si>
    <t xml:space="preserve"> CASE
 WHEN ISNULL(V.FairValueRUB,0)&gt;0 THEN ISNULL(V.FairValueRUB,0)
 ELSE      0
 END
 +
 ISNULL(
      (
      SELECT MAX
           (
           CASE
           WHEN ISNULL(VR.FairValueRUB,0)&gt;0 --Положительные остаток
                  THEN ISNULL(VR.FairValueRUB,0)
          ELSE          0
          END
          )
 FROM
         tDealRelation R WITH (NOLOCK)
--10.09.2014                                                             LEFT JOIN tSBRFFairValueFX VR WITH (NOLOCK) ON VR.DT = @DateRest AND VR.ObjectID = R.ParentID
           LEFT JOIN tSBRFFairValueFX VR WITH (NOLOCK) ON  VR.DT = (
               SELECT MAX(VR1.DT)
               FROM   tSBRFFairValueFX VR1
               WHERE
                        VR1.ObjectID = R.ParentID
                AND   VR1.DT &lt;=@DateRest                                                            )
           AND VR.ObjectID = R.ParentID
 WHERE
      R.ChildID = D.DealID
 AND    R.RelType = 42
 )
 ,
 0
 )
 *
                                (
                                CASE
                                WHEN D.Value1 = (
                                                SELECT MAX(DD.Value1)
                                                FROM   pFXDeal DD WITH (NOLOCK)
                                                WHERE
                                                       DD.SPID         = D.SPID
                                                AND    DD.InstrumentID = D.InstrumentID
                                                AND    DD.Number       = D.Number
                                                GROUP BY DD.InstrumentID,DD.Number
                                                      )
                                THEN 1
                                ELSE 0
                                END
                                )</t>
  </si>
  <si>
    <t>CASE
                                WHEN ISNULL(V.FairValueRUB,0)&lt;0 THEN ISNULL(V.FairValueRUB,0)
                                ELSE                                 0
                                END
                                +
                                ISNULL(
                                      (
                                      SELECT MAX
                                             (
                                             CASE
                                             WHEN ISNULL(VR.FairValueRUB,0)&lt;0         --Отрицательный остаток
                                                                             THEN ISNULL(VR.FairValueRUB,0)
                                             ELSE                                 0
                                             END
                                             )
                                      FROM
                                             tDealRelation R WITH (NOLOCK)
--10.09.2014                                             LEFT JOIN tSBRFFairValueFX VR WITH (NOLOCK) ON VR.DT = @DateRest AND VR.ObjectID = R.ParentID
                                             LEFT JOIN tSBRFFairValueFX VR WITH (NOLOCK) ON  VR.DT = (
                                                                                                     SELECT MAX(VR1.DT)
                                                                                                     FROM   tSBRFFairValueFX VR1
                                                                                                     WHERE
                                                                                                            VR1.ObjectID = R.ParentID
                                                                                                     AND    VR1.DT       &lt;=@DateRest
                                                                                                     )
                                                                                         AND VR.ObjectID = R.ParentID
                                      WHERE
                                             R.ChildID = D.DealID
                                      AND    R.RelType = 42
                                      )
                                      ,
                                      0
                                      )
                                *
                                (
                                CASE
                                WHEN D.Value1 = (
                                                SELECT MAX(DD.Value1)
                                                FROM   pFXDeal DD WITH (NOLOCK)
                                                WHERE
                                                       DD.SPID         = D.SPID
                                                AND    DD.InstrumentID = D.InstrumentID
                                                AND    DD.Number       = D.Number
                                                GROUP BY DD.InstrumentID,DD.Number
                                                      )
                                THEN 1
                                ELSE 0
                                END
                                )</t>
  </si>
  <si>
    <t>InstType</t>
  </si>
  <si>
    <t>I</t>
  </si>
  <si>
    <t xml:space="preserve">Brief </t>
  </si>
  <si>
    <t xml:space="preserve">CountryID  </t>
  </si>
  <si>
    <t xml:space="preserve">DealType </t>
  </si>
  <si>
    <t>Note</t>
  </si>
  <si>
    <t>CONVERT(MONEY,0)</t>
  </si>
  <si>
    <t>tInstitution</t>
  </si>
  <si>
    <t>Type</t>
  </si>
  <si>
    <t>ID</t>
  </si>
  <si>
    <t>pMMMark</t>
  </si>
  <si>
    <t>@SPID</t>
  </si>
  <si>
    <t xml:space="preserve">tInstrument </t>
  </si>
  <si>
    <t xml:space="preserve">tDeal </t>
  </si>
  <si>
    <t xml:space="preserve">tDealTransact </t>
  </si>
  <si>
    <t>DT</t>
  </si>
  <si>
    <t>WHERE
       DT.Date         &gt;=@DateS      --Дата исполнения обязательства в будущем
AND    DT.TransactType = 15          --Обязательство
AND    DT.InstrumentID = 1062        --Обязательства МБК по возврату кредита (ОБ_Возврат)
AND    I.Brief IN ('IRS')
AND    D.DealDate      &lt; @DateS      --Дата валютирования
AND    D.FixDate       &gt;=@DateS      --Дата завершения
END</t>
  </si>
  <si>
    <t>742_DR_2015.H</t>
  </si>
  <si>
    <t>WHERE
       D.InstrumentType = 4
AND    M.Brief IN ('FW')
AND    D.DealDate       &lt; @DateS                --Заключена до отчётной даты
AND    (
       D.DateFund1      &gt;=@DateS
       OR
       D.DateFund2      &gt;=@DateS
       )                                       --Рассчёты по какой-либо валюте после отчётной даты
AND    D.InstitutionID &lt;&gt; 10095014431          --не ЦБ РФ
AND    D.FundID1       &lt;&gt; D.FundID2            --Валюта покупки &lt;&gt; валюте продажи
AND    NOT(                                    --Не евровалюта против евро
          EXISTS(
                SELECT 1
                FROM   pCourseXXXEUR
                WHERE  CrnID = D.FundID1
                )
          AND
          D.FundID2 = 10090001224              --EUR
          )
AND    NOT EXISTS
                (
                SELECT 1
                FROM   tObjClsRelation O (NOLOCK)
                WHERE
                       O.ObjectID        = D.InstitutionID
                AND    O.ObjType         = 1
                AND    O.ObjClassifierID IN (
                                            10000001465,
                                            10000001466,
                                            10000001467,
                                            10000001459
                                            )
                )                                   --Не структура СБ РФ.
AND    (--Не попадают опционы без премии
       (
       D.InstrumentID IN (10000001297,10000001296)
       AND
       D.PremiumQty    &lt;&gt;0
       )
       OR
       (
       D.InstrumentID NOT IN (10000001297,10000001296)
       )
       )--Не попадают опционы без премии
AND    D.DealID NOT IN(
                      10003707621                 --Беднякова 03.07.2014
                      )                           --Исключения
END</t>
  </si>
  <si>
    <t>WHERE
       D.InstrumentType = 4
AND    M.Brief IN ('OP','OF','OS')
AND    D.DealDate       &lt; @DateS                --Заключена до отчётной даты
AND    (
       D.DateFund1      &gt;=@DateS
       OR
       D.DateFund2      &gt;=@DateS
       )                                       --Рассчёты по какой-либо валюте после отчётной даты
AND    D.InstitutionID &lt;&gt; 10095014431          --не ЦБ РФ
AND    D.FundID1       &lt;&gt; D.FundID2            --Валюта покупки &lt;&gt; валюте продажи
AND    NOT(                                    --Не евровалюта против евро
          EXISTS(
                SELECT 1
                FROM   pCourseXXXEUR
                WHERE  CrnID = D.FundID1
                )
          AND
          D.FundID2 = 10090001224              --EUR
          )
AND    NOT EXISTS
                (
                SELECT 1
                FROM   tObjClsRelation O (NOLOCK)
                WHERE
                       O.ObjectID        = D.InstitutionID
                AND    O.ObjType         = 1
                AND    O.ObjClassifierID IN (
                                            10000001465,
                                            10000001466,
                                            10000001467,
                                            10000001459
                                            )
                )                                   --Не структура СБ РФ.
AND    (--Не попадают опционы без премии
       (
       D.InstrumentID IN (10000001297,10000001296)
       AND
       D.PremiumQty    &lt;&gt;0
       )
       OR
       (
       D.InstrumentID NOT IN (10000001297,10000001296)
       )
       )--Не попадают опционы без премии
AND    D.DealID NOT IN(
                      10003707621                 --Беднякова 03.07.2014
                      )                           --Исключения
END</t>
  </si>
  <si>
    <t>WHERE
       D.InstrumentType = 4
AND    M.Brief IN ('NC')
AND    D.DealDate       &lt; @DateS                --Заключена до отчётной даты
AND    (
       D.DateFund1      &gt;=@DateS
       OR
       D.DateFund2      &gt;=@DateS
       )                                       --Рассчёты по какой-либо валюте после отчётной даты
AND    D.InstitutionID &lt;&gt; 10095014431          --не ЦБ РФ
AND    D.FundID1       &lt;&gt; D.FundID2            --Валюта покупки &lt;&gt; валюте продажи
AND    NOT(                                    --Не евровалюта против евро
          EXISTS(
                SELECT 1
                FROM   pCourseXXXEUR
                WHERE  CrnID = D.FundID1
                )
          AND
          D.FundID2 = 10090001224              --EUR
          )
AND    NOT EXISTS
                (
                SELECT 1
                FROM   tObjClsRelation O (NOLOCK)
                WHERE
                       O.ObjectID        = D.InstitutionID
                AND    O.ObjType         = 1
                AND    O.ObjClassifierID IN (
                                            10000001465,
                                            10000001466,
                                            10000001467,
                                            10000001459
                                            )
                )                                   --Не структура СБ РФ.
AND    (--Не попадают опционы без премии
       (
       D.InstrumentID IN (10000001297,10000001296)
       AND
       D.PremiumQty    &lt;&gt;0
       )
       OR
       (
       D.InstrumentID NOT IN (10000001297,10000001296)
       )
       )--Не попадают опционы без премии
AND    D.DealID NOT IN(
                      10003707621                 --Беднякова 03.07.2014
                      )                           --Исключения
END</t>
  </si>
  <si>
    <t>WHERE
       DT.Date         &gt;=@DateS      --Дата исполнения обязательства в будущем
AND    DT.TransactType = 15          --Обязательство
AND    DT.InstrumentID = 1062        --Обязательства МБК по возврату кредита (ОБ_Возврат)
AND    I.Brief IN ('CIRS')
AND    D.DealDate      &lt; @DateS      --Дата валютирования
AND    D.FixDate       &gt;=@DateS      --Дата завершения
END</t>
  </si>
  <si>
    <t>WHERE
       DT.Date         &gt;=@DateS      --Дата исполнения обязательства в будущем
AND    DT.TransactType = 15          --Обязательство
AND    DT.InstrumentID = 1062        --Обязательства МБК по возврату кредита (ОБ_Возврат)
AND    I.Brief IN ('OISD')
AND    D.DealDate      &lt; @DateS      --Дата валютирования
AND    D.FixDate       &gt;=@DateS      --Дата завершения
END</t>
  </si>
  <si>
    <t>WHERE
       I.Brief IN ('CPFL')
AND    D.DealDate &lt; @DateS      --Дата валютирования
AND    D.FixDate  &gt;=@DateS      --Дата завершения
END</t>
  </si>
  <si>
    <t>WHERE
       I.Brief IN ('CDS')
AND    D.DealDate &lt; @DateS      --Дата валютирования
AND    D.FixDate  &gt;=@DateS      --Дата завершения
END</t>
  </si>
  <si>
    <t xml:space="preserve">NominalCost    </t>
  </si>
  <si>
    <t>RiskFactor</t>
  </si>
  <si>
    <t xml:space="preserve">'DR' </t>
  </si>
  <si>
    <t xml:space="preserve">@IRDTable </t>
  </si>
  <si>
    <t>T</t>
  </si>
  <si>
    <t>pMMDeal</t>
  </si>
  <si>
    <t>tInstrument</t>
  </si>
  <si>
    <t>II</t>
  </si>
  <si>
    <t>O1</t>
  </si>
  <si>
    <t xml:space="preserve">pMMDeal </t>
  </si>
  <si>
    <t>O2</t>
  </si>
  <si>
    <t>WHERE II.Brief NOT IN ('CPFLA')</t>
  </si>
  <si>
    <t>Brief</t>
  </si>
  <si>
    <t>CASE
WHEN O1.CrnDeal = O2.CrnDeal THEN 0
ELSE                                                              1
END</t>
  </si>
  <si>
    <t>dbo.fs_GetCBCourse(
                                                  (
                                                  SELECT S.SecurityID
                                                  FROM   tSecurity S WITH (NOLOCK)
                                                  WHERE  S.Brief = RTRIM(LTRIM(T.Leg1Cur))
                                                  )
                                                  ,D.DealDate,NULL)</t>
  </si>
  <si>
    <t>CASE
WHEN T.Leg1Type = 'BUY' THEN O1.PrcSum
WHEN T.Leg2Type = 'BUY' THEN O2.PrcSum
ELSE                                                  0
END</t>
  </si>
  <si>
    <t>CASE
WHEN T.Leg1Type = 'BUY' THEN O1.CrnDeal
WHEN T.Leg2Type = 'BUY' THEN O2.CrnDeal
ELSE                                             'НЕТ'
END</t>
  </si>
  <si>
    <t>CASE
WHEN T.Leg1Type = 'SELL' THEN O1.MaturityDate --ValueDate
WHEN T.Leg2Type = 'SELL' THEN O2.MaturityDate --ValueDate
ELSE                                                 0
END</t>
  </si>
  <si>
    <t>CASE
WHEN T.Leg1Type = 'BUY' THEN O1.MaturityDate --ValueDate
WHEN T.Leg2Type = 'BUY' THEN O2.MaturityDate --ValueDate
ELSE                                                  0
END</t>
  </si>
  <si>
    <t>CASE
WHEN T.Leg1Type = 'SELL' THEN O1.PrcSum
WHEN T.Leg2Type = 'SELL' THEN O2.PrcSum
ELSE                                                  0
END</t>
  </si>
  <si>
    <t>CASE
WHEN T.Leg1Type = 'SELL' THEN O1.CrnDeal
WHEN T.Leg2Type = 'SELL' THEN O2.CrnDeal
ELSE                          'НЕТ'
END</t>
  </si>
  <si>
    <t>T.Leg1Ntnl
                                *
                                dbo.fs_GetCBCourse(
                                                  (
                                                  SELECT S.SecurityID
                                                  FROM   tSecurity S WITH (NOLOCK)
                                                  WHERE  S.Brief = RTRIM(LTRIM(T.Leg1Cur))
                                                  )
                                                  ,D.DealDate,NULL)</t>
  </si>
  <si>
    <t>Days</t>
  </si>
  <si>
    <t>атр</t>
  </si>
  <si>
    <t>Твых</t>
  </si>
  <si>
    <t>Авых</t>
  </si>
  <si>
    <t>Твх</t>
  </si>
  <si>
    <t>алвх</t>
  </si>
  <si>
    <t>Прц</t>
  </si>
  <si>
    <t>стр</t>
  </si>
  <si>
    <t>Тисп</t>
  </si>
  <si>
    <t>алИсп</t>
  </si>
  <si>
    <t>Бизн</t>
  </si>
  <si>
    <t>N</t>
  </si>
  <si>
    <t>7.42_7.105\742_FX_2015.h</t>
  </si>
  <si>
    <t>уровень вх</t>
  </si>
  <si>
    <t>уровень вх0</t>
  </si>
  <si>
    <t>уровень вых</t>
  </si>
  <si>
    <r>
      <t>Твх↓\Твых</t>
    </r>
    <r>
      <rPr>
        <sz val="11"/>
        <color theme="1"/>
        <rFont val="Calibri"/>
        <family val="2"/>
        <charset val="204"/>
      </rPr>
      <t>→</t>
    </r>
  </si>
  <si>
    <t>X</t>
  </si>
  <si>
    <t>кво  входов</t>
  </si>
  <si>
    <t>уровень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</si>
  <si>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</si>
  <si>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</si>
  <si>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</si>
  <si>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</si>
  <si>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</si>
  <si>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</si>
  <si>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</si>
  <si>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</si>
  <si>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</si>
  <si>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</si>
  <si>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</si>
  <si>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TextBox 3358</t>
  </si>
  <si>
    <t>TextBox 3359</t>
  </si>
  <si>
    <t>TextBox 3360</t>
  </si>
  <si>
    <t>TextBox 3361</t>
  </si>
  <si>
    <t>TextBox 3362</t>
  </si>
  <si>
    <t>TextBox 3363</t>
  </si>
  <si>
    <t>TextBox 3364</t>
  </si>
  <si>
    <t>TextBox 3365</t>
  </si>
  <si>
    <t>TextBox 3366</t>
  </si>
  <si>
    <t>TextBox 3367</t>
  </si>
  <si>
    <t>TextBox 3368</t>
  </si>
  <si>
    <t>TextBox 3369</t>
  </si>
  <si>
    <t>TextBox 3370</t>
  </si>
  <si>
    <t>TextBox 3371</t>
  </si>
  <si>
    <t>TextBox 3372</t>
  </si>
  <si>
    <t>TextBox 3373</t>
  </si>
  <si>
    <t>TextBox 3374</t>
  </si>
  <si>
    <t>TextBox 3375</t>
  </si>
  <si>
    <t>TextBox 3376</t>
  </si>
  <si>
    <t>TextBox 3377</t>
  </si>
  <si>
    <t>TextBox 3378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</si>
</sst>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0" tint="-4.9989318521683403E-2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0" fillId="0" borderId="0" xfId="0" applyFill="1" applyAlignment="1">
      <alignment horizontal="center" vertical="top" wrapText="1"/>
    </xf>
    <xf numFmtId="0" fontId="0" fillId="0" borderId="0" xfId="0" applyFill="1" applyAlignment="1">
      <alignment horizontal="left"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0" xfId="0" applyBorder="1" applyAlignment="1">
      <alignment horizontal="center" vertical="top"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center" vertical="top" wrapText="1"/>
    </xf>
    <xf numFmtId="0" fontId="0" fillId="0" borderId="0" xfId="0" quotePrefix="1" applyBorder="1" applyAlignment="1">
      <alignment horizontal="left" vertical="top" wrapText="1"/>
    </xf>
    <xf numFmtId="0" fontId="0" fillId="0" borderId="0" xfId="0" applyBorder="1" applyAlignment="1">
      <alignment vertical="top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0" fillId="0" borderId="0" xfId="0" applyFill="1" applyBorder="1" applyAlignment="1">
      <alignment horizontal="left" vertical="top" wrapText="1"/>
    </xf>
    <xf numFmtId="0" fontId="4" fillId="0" borderId="0" xfId="0" applyFont="1" applyFill="1" applyAlignment="1">
      <alignment vertical="center" wrapText="1"/>
    </xf>
    <xf numFmtId="0" fontId="0" fillId="0" borderId="1" xfId="0" applyFill="1" applyBorder="1" applyAlignment="1">
      <alignment horizontal="center" vertical="top" wrapText="1"/>
    </xf>
    <xf numFmtId="0" fontId="4" fillId="0" borderId="1" xfId="0" applyFont="1" applyBorder="1" applyAlignment="1">
      <alignment vertical="center" wrapText="1"/>
    </xf>
    <xf numFmtId="0" fontId="4" fillId="0" borderId="0" xfId="0" applyFont="1"/>
    <xf numFmtId="0" fontId="4" fillId="0" borderId="1" xfId="0" applyFont="1" applyBorder="1"/>
    <xf numFmtId="0" fontId="0" fillId="0" borderId="0" xfId="0" applyFill="1" applyBorder="1" applyAlignment="1">
      <alignment horizontal="left" vertical="center"/>
    </xf>
    <xf numFmtId="0" fontId="0" fillId="0" borderId="0" xfId="0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4" fillId="0" borderId="0" xfId="0" applyFont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quotePrefix="1" applyBorder="1" applyAlignment="1">
      <alignment horizontal="center" vertical="top" wrapText="1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6" fillId="0" borderId="3" xfId="0" applyFont="1" applyBorder="1"/>
    <xf numFmtId="0" fontId="0" fillId="0" borderId="2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0" fillId="0" borderId="2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&#1076;&#1080;&#1072;&#1075;&#1088;&#1072;&#1084;&#1084;&#1072;!a9"/><Relationship Id="rId13" Type="http://schemas.openxmlformats.org/officeDocument/2006/relationships/hyperlink" Target="#&#1076;&#1080;&#1072;&#1075;&#1088;&#1072;&#1084;&#1084;&#1072;!a14"/><Relationship Id="rId18" Type="http://schemas.openxmlformats.org/officeDocument/2006/relationships/hyperlink" Target="#&#1076;&#1080;&#1072;&#1075;&#1088;&#1072;&#1084;&#1084;&#1072;!a19"/><Relationship Id="rId3" Type="http://schemas.openxmlformats.org/officeDocument/2006/relationships/hyperlink" Target="#&#1076;&#1080;&#1072;&#1075;&#1088;&#1072;&#1084;&#1084;&#1072;!a4"/><Relationship Id="rId21" Type="http://schemas.openxmlformats.org/officeDocument/2006/relationships/hyperlink" Target="#&#1076;&#1080;&#1072;&#1075;&#1088;&#1072;&#1084;&#1084;&#1072;!a22"/><Relationship Id="rId7" Type="http://schemas.openxmlformats.org/officeDocument/2006/relationships/hyperlink" Target="#&#1076;&#1080;&#1072;&#1075;&#1088;&#1072;&#1084;&#1084;&#1072;!a8"/><Relationship Id="rId12" Type="http://schemas.openxmlformats.org/officeDocument/2006/relationships/hyperlink" Target="#&#1076;&#1080;&#1072;&#1075;&#1088;&#1072;&#1084;&#1084;&#1072;!a13"/><Relationship Id="rId17" Type="http://schemas.openxmlformats.org/officeDocument/2006/relationships/hyperlink" Target="#&#1076;&#1080;&#1072;&#1075;&#1088;&#1072;&#1084;&#1084;&#1072;!a18"/><Relationship Id="rId2" Type="http://schemas.openxmlformats.org/officeDocument/2006/relationships/hyperlink" Target="#&#1076;&#1080;&#1072;&#1075;&#1088;&#1072;&#1084;&#1084;&#1072;!a3"/><Relationship Id="rId16" Type="http://schemas.openxmlformats.org/officeDocument/2006/relationships/hyperlink" Target="#&#1076;&#1080;&#1072;&#1075;&#1088;&#1072;&#1084;&#1084;&#1072;!a17"/><Relationship Id="rId20" Type="http://schemas.openxmlformats.org/officeDocument/2006/relationships/hyperlink" Target="#&#1076;&#1080;&#1072;&#1075;&#1088;&#1072;&#1084;&#1084;&#1072;!a21"/><Relationship Id="rId1" Type="http://schemas.openxmlformats.org/officeDocument/2006/relationships/hyperlink" Target="#&#1076;&#1080;&#1072;&#1075;&#1088;&#1072;&#1084;&#1084;&#1072;!a2"/><Relationship Id="rId6" Type="http://schemas.openxmlformats.org/officeDocument/2006/relationships/hyperlink" Target="#&#1076;&#1080;&#1072;&#1075;&#1088;&#1072;&#1084;&#1084;&#1072;!a7"/><Relationship Id="rId11" Type="http://schemas.openxmlformats.org/officeDocument/2006/relationships/hyperlink" Target="#&#1076;&#1080;&#1072;&#1075;&#1088;&#1072;&#1084;&#1084;&#1072;!a12"/><Relationship Id="rId5" Type="http://schemas.openxmlformats.org/officeDocument/2006/relationships/hyperlink" Target="#&#1076;&#1080;&#1072;&#1075;&#1088;&#1072;&#1084;&#1084;&#1072;!a6"/><Relationship Id="rId15" Type="http://schemas.openxmlformats.org/officeDocument/2006/relationships/hyperlink" Target="#&#1076;&#1080;&#1072;&#1075;&#1088;&#1072;&#1084;&#1084;&#1072;!a16"/><Relationship Id="rId10" Type="http://schemas.openxmlformats.org/officeDocument/2006/relationships/hyperlink" Target="#&#1076;&#1080;&#1072;&#1075;&#1088;&#1072;&#1084;&#1084;&#1072;!a11"/><Relationship Id="rId19" Type="http://schemas.openxmlformats.org/officeDocument/2006/relationships/hyperlink" Target="#&#1076;&#1080;&#1072;&#1075;&#1088;&#1072;&#1084;&#1084;&#1072;!a20"/><Relationship Id="rId4" Type="http://schemas.openxmlformats.org/officeDocument/2006/relationships/hyperlink" Target="#&#1076;&#1080;&#1072;&#1075;&#1088;&#1072;&#1084;&#1084;&#1072;!a5"/><Relationship Id="rId9" Type="http://schemas.openxmlformats.org/officeDocument/2006/relationships/hyperlink" Target="#&#1076;&#1080;&#1072;&#1075;&#1088;&#1072;&#1084;&#1084;&#1072;!a10"/><Relationship Id="rId14" Type="http://schemas.openxmlformats.org/officeDocument/2006/relationships/hyperlink" Target="#&#1076;&#1080;&#1072;&#1075;&#1088;&#1072;&#1084;&#1084;&#1072;!a1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63500</xdr:rowOff>
    </xdr:from>
    <xdr:to>
      <xdr:col>6</xdr:col>
      <xdr:colOff>69850</xdr:colOff>
      <xdr:row>2</xdr:row>
      <xdr:rowOff>137560</xdr:rowOff>
    </xdr:to>
    <xdr:sp macro="" textlink="">
      <xdr:nvSpPr>
        <xdr:cNvPr id="3359" name="TextBox 3358">
          <a:hlinkClick xmlns:r="http://schemas.openxmlformats.org/officeDocument/2006/relationships" r:id="rId1"/>
        </xdr:cNvPr>
        <xdr:cNvSpPr txBox="1"/>
      </xdr:nvSpPr>
      <xdr:spPr>
        <a:xfrm>
          <a:off x="1905000" y="254000"/>
          <a:ext cx="12700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spAutoFit/>
        </a:bodyPr>
        <a:lstStyle/>
        <a:p>
          <a:pPr indent="0"/>
          <a:r>
            <a:rPr lang="en-U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fx_AllDeal</a:t>
          </a:r>
          <a:endParaRPr lang="ru-RU" sz="110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63500</xdr:rowOff>
    </xdr:from>
    <xdr:to>
      <xdr:col>2</xdr:col>
      <xdr:colOff>603250</xdr:colOff>
      <xdr:row>2</xdr:row>
      <xdr:rowOff>137560</xdr:rowOff>
    </xdr:to>
    <xdr:sp macro="" textlink="">
      <xdr:nvSpPr>
        <xdr:cNvPr id="3360" name="TextBox 3359">
          <a:hlinkClick xmlns:r="http://schemas.openxmlformats.org/officeDocument/2006/relationships" r:id="rId2"/>
        </xdr:cNvPr>
        <xdr:cNvSpPr txBox="1"/>
      </xdr:nvSpPr>
      <xdr:spPr>
        <a:xfrm>
          <a:off x="0" y="254000"/>
          <a:ext cx="12700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spAutoFit/>
        </a:bodyPr>
        <a:lstStyle/>
        <a:p>
          <a:pPr indent="0"/>
          <a:r>
            <a:rPr lang="en-U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pFXMark</a:t>
          </a:r>
          <a:endParaRPr lang="ru-RU" sz="110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19050</xdr:colOff>
      <xdr:row>4</xdr:row>
      <xdr:rowOff>12700</xdr:rowOff>
    </xdr:from>
    <xdr:to>
      <xdr:col>6</xdr:col>
      <xdr:colOff>69850</xdr:colOff>
      <xdr:row>5</xdr:row>
      <xdr:rowOff>86760</xdr:rowOff>
    </xdr:to>
    <xdr:sp macro="" textlink="">
      <xdr:nvSpPr>
        <xdr:cNvPr id="3361" name="TextBox 3360">
          <a:hlinkClick xmlns:r="http://schemas.openxmlformats.org/officeDocument/2006/relationships" r:id="rId3"/>
        </xdr:cNvPr>
        <xdr:cNvSpPr txBox="1"/>
      </xdr:nvSpPr>
      <xdr:spPr>
        <a:xfrm>
          <a:off x="1905000" y="774700"/>
          <a:ext cx="12700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spAutoFit/>
        </a:bodyPr>
        <a:lstStyle/>
        <a:p>
          <a:pPr indent="0"/>
          <a:r>
            <a:rPr lang="en-U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pFXDeal</a:t>
          </a:r>
          <a:endParaRPr lang="ru-RU" sz="110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4</xdr:row>
      <xdr:rowOff>12700</xdr:rowOff>
    </xdr:from>
    <xdr:to>
      <xdr:col>2</xdr:col>
      <xdr:colOff>603250</xdr:colOff>
      <xdr:row>5</xdr:row>
      <xdr:rowOff>86760</xdr:rowOff>
    </xdr:to>
    <xdr:sp macro="" textlink="">
      <xdr:nvSpPr>
        <xdr:cNvPr id="3362" name="TextBox 3361">
          <a:hlinkClick xmlns:r="http://schemas.openxmlformats.org/officeDocument/2006/relationships" r:id="rId4"/>
        </xdr:cNvPr>
        <xdr:cNvSpPr txBox="1"/>
      </xdr:nvSpPr>
      <xdr:spPr>
        <a:xfrm>
          <a:off x="0" y="774700"/>
          <a:ext cx="12700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spAutoFit/>
        </a:bodyPr>
        <a:lstStyle/>
        <a:p>
          <a:pPr indent="0"/>
          <a:r>
            <a:rPr lang="en-U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#tCreditRisk</a:t>
          </a:r>
          <a:endParaRPr lang="ru-RU" sz="110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19050</xdr:colOff>
      <xdr:row>6</xdr:row>
      <xdr:rowOff>152400</xdr:rowOff>
    </xdr:from>
    <xdr:to>
      <xdr:col>6</xdr:col>
      <xdr:colOff>69850</xdr:colOff>
      <xdr:row>8</xdr:row>
      <xdr:rowOff>35960</xdr:rowOff>
    </xdr:to>
    <xdr:sp macro="" textlink="">
      <xdr:nvSpPr>
        <xdr:cNvPr id="3363" name="TextBox 3362">
          <a:hlinkClick xmlns:r="http://schemas.openxmlformats.org/officeDocument/2006/relationships" r:id="rId5"/>
        </xdr:cNvPr>
        <xdr:cNvSpPr txBox="1"/>
      </xdr:nvSpPr>
      <xdr:spPr>
        <a:xfrm>
          <a:off x="1905000" y="1295400"/>
          <a:ext cx="12700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spAutoFit/>
        </a:bodyPr>
        <a:lstStyle/>
        <a:p>
          <a:pPr indent="0"/>
          <a:r>
            <a:rPr lang="en-U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pFXDealDerived</a:t>
          </a:r>
          <a:endParaRPr lang="ru-RU" sz="110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19050</xdr:colOff>
      <xdr:row>9</xdr:row>
      <xdr:rowOff>101600</xdr:rowOff>
    </xdr:from>
    <xdr:to>
      <xdr:col>6</xdr:col>
      <xdr:colOff>69850</xdr:colOff>
      <xdr:row>10</xdr:row>
      <xdr:rowOff>175660</xdr:rowOff>
    </xdr:to>
    <xdr:sp macro="" textlink="">
      <xdr:nvSpPr>
        <xdr:cNvPr id="3364" name="TextBox 3363">
          <a:hlinkClick xmlns:r="http://schemas.openxmlformats.org/officeDocument/2006/relationships" r:id="rId6"/>
        </xdr:cNvPr>
        <xdr:cNvSpPr txBox="1"/>
      </xdr:nvSpPr>
      <xdr:spPr>
        <a:xfrm>
          <a:off x="1905000" y="1816100"/>
          <a:ext cx="12700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spAutoFit/>
        </a:bodyPr>
        <a:lstStyle/>
        <a:p>
          <a:pPr indent="0"/>
          <a:r>
            <a:rPr lang="en-U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tInstitution</a:t>
          </a:r>
          <a:endParaRPr lang="ru-RU" sz="110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19050</xdr:colOff>
      <xdr:row>12</xdr:row>
      <xdr:rowOff>50800</xdr:rowOff>
    </xdr:from>
    <xdr:to>
      <xdr:col>6</xdr:col>
      <xdr:colOff>69850</xdr:colOff>
      <xdr:row>13</xdr:row>
      <xdr:rowOff>124860</xdr:rowOff>
    </xdr:to>
    <xdr:sp macro="" textlink="">
      <xdr:nvSpPr>
        <xdr:cNvPr id="3365" name="TextBox 3364">
          <a:hlinkClick xmlns:r="http://schemas.openxmlformats.org/officeDocument/2006/relationships" r:id="rId7"/>
        </xdr:cNvPr>
        <xdr:cNvSpPr txBox="1"/>
      </xdr:nvSpPr>
      <xdr:spPr>
        <a:xfrm>
          <a:off x="1905000" y="2336800"/>
          <a:ext cx="12700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spAutoFit/>
        </a:bodyPr>
        <a:lstStyle/>
        <a:p>
          <a:pPr indent="0"/>
          <a:r>
            <a:rPr lang="en-U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tDeal </a:t>
          </a:r>
          <a:endParaRPr lang="ru-RU" sz="110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6</xdr:row>
      <xdr:rowOff>152400</xdr:rowOff>
    </xdr:from>
    <xdr:to>
      <xdr:col>2</xdr:col>
      <xdr:colOff>603250</xdr:colOff>
      <xdr:row>8</xdr:row>
      <xdr:rowOff>35960</xdr:rowOff>
    </xdr:to>
    <xdr:sp macro="" textlink="">
      <xdr:nvSpPr>
        <xdr:cNvPr id="3366" name="TextBox 3365">
          <a:hlinkClick xmlns:r="http://schemas.openxmlformats.org/officeDocument/2006/relationships" r:id="rId8"/>
        </xdr:cNvPr>
        <xdr:cNvSpPr txBox="1"/>
      </xdr:nvSpPr>
      <xdr:spPr>
        <a:xfrm>
          <a:off x="0" y="1295400"/>
          <a:ext cx="12700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spAutoFit/>
        </a:bodyPr>
        <a:lstStyle/>
        <a:p>
          <a:pPr indent="0"/>
          <a:r>
            <a:rPr lang="en-U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pMMMark</a:t>
          </a:r>
          <a:endParaRPr lang="ru-RU" sz="110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19050</xdr:colOff>
      <xdr:row>15</xdr:row>
      <xdr:rowOff>0</xdr:rowOff>
    </xdr:from>
    <xdr:to>
      <xdr:col>6</xdr:col>
      <xdr:colOff>69850</xdr:colOff>
      <xdr:row>16</xdr:row>
      <xdr:rowOff>74060</xdr:rowOff>
    </xdr:to>
    <xdr:sp macro="" textlink="">
      <xdr:nvSpPr>
        <xdr:cNvPr id="3367" name="TextBox 3366">
          <a:hlinkClick xmlns:r="http://schemas.openxmlformats.org/officeDocument/2006/relationships" r:id="rId9"/>
        </xdr:cNvPr>
        <xdr:cNvSpPr txBox="1"/>
      </xdr:nvSpPr>
      <xdr:spPr>
        <a:xfrm>
          <a:off x="1905000" y="2857500"/>
          <a:ext cx="12700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spAutoFit/>
        </a:bodyPr>
        <a:lstStyle/>
        <a:p>
          <a:pPr indent="0"/>
          <a:r>
            <a:rPr lang="en-U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pMMDeal</a:t>
          </a:r>
          <a:endParaRPr lang="ru-RU" sz="110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19050</xdr:colOff>
      <xdr:row>17</xdr:row>
      <xdr:rowOff>139700</xdr:rowOff>
    </xdr:from>
    <xdr:to>
      <xdr:col>6</xdr:col>
      <xdr:colOff>69850</xdr:colOff>
      <xdr:row>19</xdr:row>
      <xdr:rowOff>23260</xdr:rowOff>
    </xdr:to>
    <xdr:sp macro="" textlink="">
      <xdr:nvSpPr>
        <xdr:cNvPr id="3368" name="TextBox 3367">
          <a:hlinkClick xmlns:r="http://schemas.openxmlformats.org/officeDocument/2006/relationships" r:id="rId10"/>
        </xdr:cNvPr>
        <xdr:cNvSpPr txBox="1"/>
      </xdr:nvSpPr>
      <xdr:spPr>
        <a:xfrm>
          <a:off x="1905000" y="3378200"/>
          <a:ext cx="12700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spAutoFit/>
        </a:bodyPr>
        <a:lstStyle/>
        <a:p>
          <a:pPr indent="0"/>
          <a:r>
            <a:rPr lang="en-U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tInstrument</a:t>
          </a:r>
          <a:endParaRPr lang="ru-RU" sz="110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19050</xdr:colOff>
      <xdr:row>20</xdr:row>
      <xdr:rowOff>88900</xdr:rowOff>
    </xdr:from>
    <xdr:to>
      <xdr:col>6</xdr:col>
      <xdr:colOff>69850</xdr:colOff>
      <xdr:row>21</xdr:row>
      <xdr:rowOff>162960</xdr:rowOff>
    </xdr:to>
    <xdr:sp macro="" textlink="">
      <xdr:nvSpPr>
        <xdr:cNvPr id="3369" name="TextBox 3368">
          <a:hlinkClick xmlns:r="http://schemas.openxmlformats.org/officeDocument/2006/relationships" r:id="rId11"/>
        </xdr:cNvPr>
        <xdr:cNvSpPr txBox="1"/>
      </xdr:nvSpPr>
      <xdr:spPr>
        <a:xfrm>
          <a:off x="1905000" y="3898900"/>
          <a:ext cx="12700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spAutoFit/>
        </a:bodyPr>
        <a:lstStyle/>
        <a:p>
          <a:pPr indent="0"/>
          <a:r>
            <a:rPr lang="en-U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q2</a:t>
          </a:r>
          <a:endParaRPr lang="ru-RU" sz="110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9</xdr:row>
      <xdr:rowOff>101600</xdr:rowOff>
    </xdr:from>
    <xdr:to>
      <xdr:col>2</xdr:col>
      <xdr:colOff>603250</xdr:colOff>
      <xdr:row>10</xdr:row>
      <xdr:rowOff>175660</xdr:rowOff>
    </xdr:to>
    <xdr:sp macro="" textlink="">
      <xdr:nvSpPr>
        <xdr:cNvPr id="3370" name="TextBox 3369">
          <a:hlinkClick xmlns:r="http://schemas.openxmlformats.org/officeDocument/2006/relationships" r:id="rId12"/>
        </xdr:cNvPr>
        <xdr:cNvSpPr txBox="1"/>
      </xdr:nvSpPr>
      <xdr:spPr>
        <a:xfrm>
          <a:off x="0" y="1816100"/>
          <a:ext cx="12700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spAutoFit/>
        </a:bodyPr>
        <a:lstStyle/>
        <a:p>
          <a:pPr indent="0"/>
          <a:r>
            <a:rPr lang="en-U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q1</a:t>
          </a:r>
          <a:endParaRPr lang="ru-RU" sz="110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95250</xdr:colOff>
      <xdr:row>1</xdr:row>
      <xdr:rowOff>63500</xdr:rowOff>
    </xdr:from>
    <xdr:to>
      <xdr:col>9</xdr:col>
      <xdr:colOff>146050</xdr:colOff>
      <xdr:row>2</xdr:row>
      <xdr:rowOff>137560</xdr:rowOff>
    </xdr:to>
    <xdr:sp macro="" textlink="">
      <xdr:nvSpPr>
        <xdr:cNvPr id="3371" name="TextBox 3370">
          <a:hlinkClick xmlns:r="http://schemas.openxmlformats.org/officeDocument/2006/relationships" r:id="rId13"/>
        </xdr:cNvPr>
        <xdr:cNvSpPr txBox="1"/>
      </xdr:nvSpPr>
      <xdr:spPr>
        <a:xfrm>
          <a:off x="3810000" y="254000"/>
          <a:ext cx="12700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spAutoFit/>
        </a:bodyPr>
        <a:lstStyle/>
        <a:p>
          <a:pPr indent="0"/>
          <a:r>
            <a:rPr lang="en-U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q3</a:t>
          </a:r>
          <a:endParaRPr lang="ru-RU" sz="110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171450</xdr:colOff>
      <xdr:row>1</xdr:row>
      <xdr:rowOff>63500</xdr:rowOff>
    </xdr:from>
    <xdr:to>
      <xdr:col>12</xdr:col>
      <xdr:colOff>222250</xdr:colOff>
      <xdr:row>2</xdr:row>
      <xdr:rowOff>137560</xdr:rowOff>
    </xdr:to>
    <xdr:sp macro="" textlink="">
      <xdr:nvSpPr>
        <xdr:cNvPr id="3372" name="TextBox 3371">
          <a:hlinkClick xmlns:r="http://schemas.openxmlformats.org/officeDocument/2006/relationships" r:id="rId14"/>
        </xdr:cNvPr>
        <xdr:cNvSpPr txBox="1"/>
      </xdr:nvSpPr>
      <xdr:spPr>
        <a:xfrm>
          <a:off x="5715000" y="254000"/>
          <a:ext cx="12700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spAutoFit/>
        </a:bodyPr>
        <a:lstStyle/>
        <a:p>
          <a:pPr indent="0"/>
          <a:r>
            <a:rPr lang="en-U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q7</a:t>
          </a:r>
          <a:endParaRPr lang="ru-RU" sz="110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323850</xdr:colOff>
      <xdr:row>1</xdr:row>
      <xdr:rowOff>63500</xdr:rowOff>
    </xdr:from>
    <xdr:to>
      <xdr:col>18</xdr:col>
      <xdr:colOff>374650</xdr:colOff>
      <xdr:row>2</xdr:row>
      <xdr:rowOff>137560</xdr:rowOff>
    </xdr:to>
    <xdr:sp macro="" textlink="">
      <xdr:nvSpPr>
        <xdr:cNvPr id="3373" name="TextBox 3372">
          <a:hlinkClick xmlns:r="http://schemas.openxmlformats.org/officeDocument/2006/relationships" r:id="rId15"/>
        </xdr:cNvPr>
        <xdr:cNvSpPr txBox="1"/>
      </xdr:nvSpPr>
      <xdr:spPr>
        <a:xfrm>
          <a:off x="9525000" y="254000"/>
          <a:ext cx="12700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spAutoFit/>
        </a:bodyPr>
        <a:lstStyle/>
        <a:p>
          <a:pPr indent="0"/>
          <a:r>
            <a:rPr lang="en-U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q4</a:t>
          </a:r>
          <a:endParaRPr lang="ru-RU" sz="110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12</xdr:row>
      <xdr:rowOff>50800</xdr:rowOff>
    </xdr:from>
    <xdr:to>
      <xdr:col>2</xdr:col>
      <xdr:colOff>603250</xdr:colOff>
      <xdr:row>13</xdr:row>
      <xdr:rowOff>124860</xdr:rowOff>
    </xdr:to>
    <xdr:sp macro="" textlink="">
      <xdr:nvSpPr>
        <xdr:cNvPr id="3374" name="TextBox 3373">
          <a:hlinkClick xmlns:r="http://schemas.openxmlformats.org/officeDocument/2006/relationships" r:id="rId16"/>
        </xdr:cNvPr>
        <xdr:cNvSpPr txBox="1"/>
      </xdr:nvSpPr>
      <xdr:spPr>
        <a:xfrm>
          <a:off x="0" y="2336800"/>
          <a:ext cx="12700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spAutoFit/>
        </a:bodyPr>
        <a:lstStyle/>
        <a:p>
          <a:pPr indent="0"/>
          <a:r>
            <a:rPr lang="en-U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q5</a:t>
          </a:r>
          <a:endParaRPr lang="ru-RU" sz="110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247650</xdr:colOff>
      <xdr:row>1</xdr:row>
      <xdr:rowOff>63500</xdr:rowOff>
    </xdr:from>
    <xdr:to>
      <xdr:col>15</xdr:col>
      <xdr:colOff>298450</xdr:colOff>
      <xdr:row>2</xdr:row>
      <xdr:rowOff>137560</xdr:rowOff>
    </xdr:to>
    <xdr:sp macro="" textlink="">
      <xdr:nvSpPr>
        <xdr:cNvPr id="3375" name="TextBox 3374">
          <a:hlinkClick xmlns:r="http://schemas.openxmlformats.org/officeDocument/2006/relationships" r:id="rId17"/>
        </xdr:cNvPr>
        <xdr:cNvSpPr txBox="1"/>
      </xdr:nvSpPr>
      <xdr:spPr>
        <a:xfrm>
          <a:off x="7620000" y="254000"/>
          <a:ext cx="12700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spAutoFit/>
        </a:bodyPr>
        <a:lstStyle/>
        <a:p>
          <a:pPr indent="0"/>
          <a:r>
            <a:rPr lang="en-U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q6</a:t>
          </a:r>
          <a:endParaRPr lang="ru-RU" sz="110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323850</xdr:colOff>
      <xdr:row>4</xdr:row>
      <xdr:rowOff>12700</xdr:rowOff>
    </xdr:from>
    <xdr:to>
      <xdr:col>18</xdr:col>
      <xdr:colOff>374650</xdr:colOff>
      <xdr:row>5</xdr:row>
      <xdr:rowOff>86760</xdr:rowOff>
    </xdr:to>
    <xdr:sp macro="" textlink="">
      <xdr:nvSpPr>
        <xdr:cNvPr id="3376" name="TextBox 3375">
          <a:hlinkClick xmlns:r="http://schemas.openxmlformats.org/officeDocument/2006/relationships" r:id="rId18"/>
        </xdr:cNvPr>
        <xdr:cNvSpPr txBox="1"/>
      </xdr:nvSpPr>
      <xdr:spPr>
        <a:xfrm>
          <a:off x="9525000" y="774700"/>
          <a:ext cx="12700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spAutoFit/>
        </a:bodyPr>
        <a:lstStyle/>
        <a:p>
          <a:pPr indent="0"/>
          <a:r>
            <a:rPr lang="en-U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q11</a:t>
          </a:r>
          <a:endParaRPr lang="ru-RU" sz="110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247650</xdr:colOff>
      <xdr:row>4</xdr:row>
      <xdr:rowOff>12700</xdr:rowOff>
    </xdr:from>
    <xdr:to>
      <xdr:col>15</xdr:col>
      <xdr:colOff>298450</xdr:colOff>
      <xdr:row>5</xdr:row>
      <xdr:rowOff>86760</xdr:rowOff>
    </xdr:to>
    <xdr:sp macro="" textlink="">
      <xdr:nvSpPr>
        <xdr:cNvPr id="3377" name="TextBox 3376">
          <a:hlinkClick xmlns:r="http://schemas.openxmlformats.org/officeDocument/2006/relationships" r:id="rId19"/>
        </xdr:cNvPr>
        <xdr:cNvSpPr txBox="1"/>
      </xdr:nvSpPr>
      <xdr:spPr>
        <a:xfrm>
          <a:off x="7620000" y="774700"/>
          <a:ext cx="12700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spAutoFit/>
        </a:bodyPr>
        <a:lstStyle/>
        <a:p>
          <a:pPr indent="0"/>
          <a:r>
            <a:rPr lang="en-U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q9</a:t>
          </a:r>
          <a:endParaRPr lang="ru-RU" sz="110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476250</xdr:colOff>
      <xdr:row>1</xdr:row>
      <xdr:rowOff>63500</xdr:rowOff>
    </xdr:from>
    <xdr:to>
      <xdr:col>24</xdr:col>
      <xdr:colOff>527050</xdr:colOff>
      <xdr:row>2</xdr:row>
      <xdr:rowOff>137560</xdr:rowOff>
    </xdr:to>
    <xdr:sp macro="" textlink="">
      <xdr:nvSpPr>
        <xdr:cNvPr id="3378" name="TextBox 3377">
          <a:hlinkClick xmlns:r="http://schemas.openxmlformats.org/officeDocument/2006/relationships" r:id="rId20"/>
        </xdr:cNvPr>
        <xdr:cNvSpPr txBox="1"/>
      </xdr:nvSpPr>
      <xdr:spPr>
        <a:xfrm>
          <a:off x="13335000" y="254000"/>
          <a:ext cx="12700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spAutoFit/>
        </a:bodyPr>
        <a:lstStyle/>
        <a:p>
          <a:pPr indent="0"/>
          <a:r>
            <a:rPr lang="en-U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q8</a:t>
          </a:r>
          <a:endParaRPr lang="ru-RU" sz="110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400050</xdr:colOff>
      <xdr:row>1</xdr:row>
      <xdr:rowOff>63500</xdr:rowOff>
    </xdr:from>
    <xdr:to>
      <xdr:col>21</xdr:col>
      <xdr:colOff>450850</xdr:colOff>
      <xdr:row>2</xdr:row>
      <xdr:rowOff>137560</xdr:rowOff>
    </xdr:to>
    <xdr:sp macro="" textlink="">
      <xdr:nvSpPr>
        <xdr:cNvPr id="3379" name="TextBox 3378">
          <a:hlinkClick xmlns:r="http://schemas.openxmlformats.org/officeDocument/2006/relationships" r:id="rId21"/>
        </xdr:cNvPr>
        <xdr:cNvSpPr txBox="1"/>
      </xdr:nvSpPr>
      <xdr:spPr>
        <a:xfrm>
          <a:off x="11430000" y="254000"/>
          <a:ext cx="12700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spAutoFit/>
        </a:bodyPr>
        <a:lstStyle/>
        <a:p>
          <a:pPr indent="0"/>
          <a:r>
            <a:rPr lang="en-U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q10</a:t>
          </a:r>
          <a:endParaRPr lang="ru-RU" sz="110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603250</xdr:colOff>
      <xdr:row>2</xdr:row>
      <xdr:rowOff>5280</xdr:rowOff>
    </xdr:from>
    <xdr:to>
      <xdr:col>4</xdr:col>
      <xdr:colOff>19050</xdr:colOff>
      <xdr:row>2</xdr:row>
      <xdr:rowOff>17980</xdr:rowOff>
    </xdr:to>
    <xdr:cxnSp macro="">
      <xdr:nvCxnSpPr>
        <xdr:cNvPr id="3380" name="Скругленная соединительная линия 3379"/>
        <xdr:cNvCxnSpPr>
          <a:stCxn id="3360" idx="3"/>
          <a:endCxn id="3359" idx="1"/>
        </xdr:cNvCxnSpPr>
      </xdr:nvCxnSpPr>
      <xdr:spPr>
        <a:xfrm>
          <a:off x="1270000" y="386280"/>
          <a:ext cx="635000" cy="12700"/>
        </a:xfrm>
        <a:prstGeom prst="curvedConnector3">
          <a:avLst>
            <a:gd name="adj1" fmla="val 66444"/>
          </a:avLst>
        </a:prstGeom>
        <a:ln w="9525">
          <a:solidFill>
            <a:srgbClr val="4A7EBB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603250</xdr:colOff>
      <xdr:row>4</xdr:row>
      <xdr:rowOff>144980</xdr:rowOff>
    </xdr:from>
    <xdr:to>
      <xdr:col>4</xdr:col>
      <xdr:colOff>19050</xdr:colOff>
      <xdr:row>4</xdr:row>
      <xdr:rowOff>157680</xdr:rowOff>
    </xdr:to>
    <xdr:cxnSp macro="">
      <xdr:nvCxnSpPr>
        <xdr:cNvPr id="3381" name="Скругленная соединительная линия 3380"/>
        <xdr:cNvCxnSpPr>
          <a:stCxn id="3362" idx="3"/>
          <a:endCxn id="3361" idx="1"/>
        </xdr:cNvCxnSpPr>
      </xdr:nvCxnSpPr>
      <xdr:spPr>
        <a:xfrm>
          <a:off x="1270000" y="906980"/>
          <a:ext cx="635000" cy="12700"/>
        </a:xfrm>
        <a:prstGeom prst="curvedConnector3">
          <a:avLst>
            <a:gd name="adj1" fmla="val 52674"/>
          </a:avLst>
        </a:prstGeom>
        <a:ln w="9525">
          <a:solidFill>
            <a:srgbClr val="4A7EBB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603250</xdr:colOff>
      <xdr:row>4</xdr:row>
      <xdr:rowOff>144980</xdr:rowOff>
    </xdr:from>
    <xdr:to>
      <xdr:col>4</xdr:col>
      <xdr:colOff>19050</xdr:colOff>
      <xdr:row>7</xdr:row>
      <xdr:rowOff>94180</xdr:rowOff>
    </xdr:to>
    <xdr:cxnSp macro="">
      <xdr:nvCxnSpPr>
        <xdr:cNvPr id="3382" name="Скругленная соединительная линия 3381"/>
        <xdr:cNvCxnSpPr>
          <a:stCxn id="3362" idx="3"/>
          <a:endCxn id="3363" idx="1"/>
        </xdr:cNvCxnSpPr>
      </xdr:nvCxnSpPr>
      <xdr:spPr>
        <a:xfrm>
          <a:off x="1270000" y="906980"/>
          <a:ext cx="635000" cy="520700"/>
        </a:xfrm>
        <a:prstGeom prst="curvedConnector3">
          <a:avLst>
            <a:gd name="adj1" fmla="val 56361"/>
          </a:avLst>
        </a:prstGeom>
        <a:ln w="9525">
          <a:solidFill>
            <a:srgbClr val="4A7EBB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603250</xdr:colOff>
      <xdr:row>4</xdr:row>
      <xdr:rowOff>144980</xdr:rowOff>
    </xdr:from>
    <xdr:to>
      <xdr:col>4</xdr:col>
      <xdr:colOff>19050</xdr:colOff>
      <xdr:row>10</xdr:row>
      <xdr:rowOff>43380</xdr:rowOff>
    </xdr:to>
    <xdr:cxnSp macro="">
      <xdr:nvCxnSpPr>
        <xdr:cNvPr id="3383" name="Скругленная соединительная линия 3382"/>
        <xdr:cNvCxnSpPr>
          <a:stCxn id="3362" idx="3"/>
          <a:endCxn id="3364" idx="1"/>
        </xdr:cNvCxnSpPr>
      </xdr:nvCxnSpPr>
      <xdr:spPr>
        <a:xfrm>
          <a:off x="1270000" y="906980"/>
          <a:ext cx="635000" cy="1041400"/>
        </a:xfrm>
        <a:prstGeom prst="curvedConnector3">
          <a:avLst>
            <a:gd name="adj1" fmla="val 33165"/>
          </a:avLst>
        </a:prstGeom>
        <a:ln w="9525">
          <a:solidFill>
            <a:srgbClr val="4A7EBB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603250</xdr:colOff>
      <xdr:row>4</xdr:row>
      <xdr:rowOff>144980</xdr:rowOff>
    </xdr:from>
    <xdr:to>
      <xdr:col>4</xdr:col>
      <xdr:colOff>19050</xdr:colOff>
      <xdr:row>15</xdr:row>
      <xdr:rowOff>132280</xdr:rowOff>
    </xdr:to>
    <xdr:cxnSp macro="">
      <xdr:nvCxnSpPr>
        <xdr:cNvPr id="3384" name="Скругленная соединительная линия 3383"/>
        <xdr:cNvCxnSpPr>
          <a:stCxn id="3362" idx="3"/>
          <a:endCxn id="3367" idx="1"/>
        </xdr:cNvCxnSpPr>
      </xdr:nvCxnSpPr>
      <xdr:spPr>
        <a:xfrm>
          <a:off x="1270000" y="906980"/>
          <a:ext cx="635000" cy="2082800"/>
        </a:xfrm>
        <a:prstGeom prst="curvedConnector3">
          <a:avLst>
            <a:gd name="adj1" fmla="val 34156"/>
          </a:avLst>
        </a:prstGeom>
        <a:ln w="9525">
          <a:solidFill>
            <a:srgbClr val="4A7EBB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603250</xdr:colOff>
      <xdr:row>4</xdr:row>
      <xdr:rowOff>144980</xdr:rowOff>
    </xdr:from>
    <xdr:to>
      <xdr:col>4</xdr:col>
      <xdr:colOff>19050</xdr:colOff>
      <xdr:row>18</xdr:row>
      <xdr:rowOff>81480</xdr:rowOff>
    </xdr:to>
    <xdr:cxnSp macro="">
      <xdr:nvCxnSpPr>
        <xdr:cNvPr id="3385" name="Скругленная соединительная линия 3384"/>
        <xdr:cNvCxnSpPr>
          <a:stCxn id="3362" idx="3"/>
          <a:endCxn id="3368" idx="1"/>
        </xdr:cNvCxnSpPr>
      </xdr:nvCxnSpPr>
      <xdr:spPr>
        <a:xfrm>
          <a:off x="1270000" y="906980"/>
          <a:ext cx="635000" cy="2603500"/>
        </a:xfrm>
        <a:prstGeom prst="curvedConnector3">
          <a:avLst>
            <a:gd name="adj1" fmla="val 71979"/>
          </a:avLst>
        </a:prstGeom>
        <a:ln w="9525">
          <a:solidFill>
            <a:srgbClr val="4A7EBB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603250</xdr:colOff>
      <xdr:row>7</xdr:row>
      <xdr:rowOff>94180</xdr:rowOff>
    </xdr:from>
    <xdr:to>
      <xdr:col>4</xdr:col>
      <xdr:colOff>19050</xdr:colOff>
      <xdr:row>12</xdr:row>
      <xdr:rowOff>183080</xdr:rowOff>
    </xdr:to>
    <xdr:cxnSp macro="">
      <xdr:nvCxnSpPr>
        <xdr:cNvPr id="3386" name="Скругленная соединительная линия 3385"/>
        <xdr:cNvCxnSpPr>
          <a:stCxn id="3366" idx="3"/>
          <a:endCxn id="3365" idx="1"/>
        </xdr:cNvCxnSpPr>
      </xdr:nvCxnSpPr>
      <xdr:spPr>
        <a:xfrm>
          <a:off x="1270000" y="1427680"/>
          <a:ext cx="635000" cy="1041400"/>
        </a:xfrm>
        <a:prstGeom prst="curvedConnector3">
          <a:avLst>
            <a:gd name="adj1" fmla="val 11121"/>
          </a:avLst>
        </a:prstGeom>
        <a:ln w="9525">
          <a:solidFill>
            <a:srgbClr val="4A7EBB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69850</xdr:colOff>
      <xdr:row>2</xdr:row>
      <xdr:rowOff>5280</xdr:rowOff>
    </xdr:from>
    <xdr:to>
      <xdr:col>7</xdr:col>
      <xdr:colOff>95250</xdr:colOff>
      <xdr:row>21</xdr:row>
      <xdr:rowOff>30680</xdr:rowOff>
    </xdr:to>
    <xdr:cxnSp macro="">
      <xdr:nvCxnSpPr>
        <xdr:cNvPr id="3387" name="Скругленная соединительная линия 3386"/>
        <xdr:cNvCxnSpPr>
          <a:stCxn id="3369" idx="3"/>
          <a:endCxn id="3371" idx="1"/>
        </xdr:cNvCxnSpPr>
      </xdr:nvCxnSpPr>
      <xdr:spPr>
        <a:xfrm flipV="1">
          <a:off x="3175000" y="386280"/>
          <a:ext cx="635000" cy="3644900"/>
        </a:xfrm>
        <a:prstGeom prst="curvedConnector3">
          <a:avLst>
            <a:gd name="adj1" fmla="val 70858"/>
          </a:avLst>
        </a:prstGeom>
        <a:ln w="19050">
          <a:solidFill>
            <a:srgbClr val="00FF00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603250</xdr:colOff>
      <xdr:row>10</xdr:row>
      <xdr:rowOff>43380</xdr:rowOff>
    </xdr:from>
    <xdr:to>
      <xdr:col>4</xdr:col>
      <xdr:colOff>19050</xdr:colOff>
      <xdr:row>21</xdr:row>
      <xdr:rowOff>30680</xdr:rowOff>
    </xdr:to>
    <xdr:cxnSp macro="">
      <xdr:nvCxnSpPr>
        <xdr:cNvPr id="3388" name="Скругленная соединительная линия 3387"/>
        <xdr:cNvCxnSpPr>
          <a:stCxn id="3370" idx="3"/>
          <a:endCxn id="3369" idx="1"/>
        </xdr:cNvCxnSpPr>
      </xdr:nvCxnSpPr>
      <xdr:spPr>
        <a:xfrm>
          <a:off x="1270000" y="1948380"/>
          <a:ext cx="635000" cy="2082800"/>
        </a:xfrm>
        <a:prstGeom prst="curvedConnector3">
          <a:avLst>
            <a:gd name="adj1" fmla="val 75159"/>
          </a:avLst>
        </a:prstGeom>
        <a:ln w="9525">
          <a:solidFill>
            <a:srgbClr val="4A7EBB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146050</xdr:colOff>
      <xdr:row>2</xdr:row>
      <xdr:rowOff>5280</xdr:rowOff>
    </xdr:from>
    <xdr:to>
      <xdr:col>10</xdr:col>
      <xdr:colOff>171450</xdr:colOff>
      <xdr:row>2</xdr:row>
      <xdr:rowOff>17980</xdr:rowOff>
    </xdr:to>
    <xdr:cxnSp macro="">
      <xdr:nvCxnSpPr>
        <xdr:cNvPr id="3389" name="Скругленная соединительная линия 3388"/>
        <xdr:cNvCxnSpPr>
          <a:stCxn id="3371" idx="3"/>
          <a:endCxn id="3372" idx="1"/>
        </xdr:cNvCxnSpPr>
      </xdr:nvCxnSpPr>
      <xdr:spPr>
        <a:xfrm>
          <a:off x="5080000" y="386280"/>
          <a:ext cx="635000" cy="12700"/>
        </a:xfrm>
        <a:prstGeom prst="curvedConnector3">
          <a:avLst>
            <a:gd name="adj1" fmla="val 66723"/>
          </a:avLst>
        </a:prstGeom>
        <a:ln w="19050">
          <a:solidFill>
            <a:srgbClr val="FF0000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222250</xdr:colOff>
      <xdr:row>2</xdr:row>
      <xdr:rowOff>5280</xdr:rowOff>
    </xdr:from>
    <xdr:to>
      <xdr:col>13</xdr:col>
      <xdr:colOff>247650</xdr:colOff>
      <xdr:row>2</xdr:row>
      <xdr:rowOff>17980</xdr:rowOff>
    </xdr:to>
    <xdr:cxnSp macro="">
      <xdr:nvCxnSpPr>
        <xdr:cNvPr id="3390" name="Скругленная соединительная линия 3389"/>
        <xdr:cNvCxnSpPr>
          <a:stCxn id="3372" idx="3"/>
          <a:endCxn id="3375" idx="1"/>
        </xdr:cNvCxnSpPr>
      </xdr:nvCxnSpPr>
      <xdr:spPr>
        <a:xfrm>
          <a:off x="6985000" y="386280"/>
          <a:ext cx="635000" cy="12700"/>
        </a:xfrm>
        <a:prstGeom prst="curvedConnector3">
          <a:avLst>
            <a:gd name="adj1" fmla="val 13628"/>
          </a:avLst>
        </a:prstGeom>
        <a:ln w="9525">
          <a:solidFill>
            <a:srgbClr val="4A7EBB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222250</xdr:colOff>
      <xdr:row>2</xdr:row>
      <xdr:rowOff>5280</xdr:rowOff>
    </xdr:from>
    <xdr:to>
      <xdr:col>13</xdr:col>
      <xdr:colOff>247650</xdr:colOff>
      <xdr:row>4</xdr:row>
      <xdr:rowOff>144980</xdr:rowOff>
    </xdr:to>
    <xdr:cxnSp macro="">
      <xdr:nvCxnSpPr>
        <xdr:cNvPr id="3391" name="Скругленная соединительная линия 3390"/>
        <xdr:cNvCxnSpPr>
          <a:stCxn id="3372" idx="3"/>
          <a:endCxn id="3377" idx="1"/>
        </xdr:cNvCxnSpPr>
      </xdr:nvCxnSpPr>
      <xdr:spPr>
        <a:xfrm>
          <a:off x="6985000" y="386280"/>
          <a:ext cx="635000" cy="520700"/>
        </a:xfrm>
        <a:prstGeom prst="curvedConnector3">
          <a:avLst>
            <a:gd name="adj1" fmla="val 43123"/>
          </a:avLst>
        </a:prstGeom>
        <a:ln w="9525">
          <a:solidFill>
            <a:srgbClr val="4A7EBB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146050</xdr:colOff>
      <xdr:row>2</xdr:row>
      <xdr:rowOff>5280</xdr:rowOff>
    </xdr:from>
    <xdr:to>
      <xdr:col>16</xdr:col>
      <xdr:colOff>323850</xdr:colOff>
      <xdr:row>2</xdr:row>
      <xdr:rowOff>17980</xdr:rowOff>
    </xdr:to>
    <xdr:cxnSp macro="">
      <xdr:nvCxnSpPr>
        <xdr:cNvPr id="3392" name="Скругленная соединительная линия 3391"/>
        <xdr:cNvCxnSpPr>
          <a:stCxn id="3373" idx="1"/>
          <a:endCxn id="3371" idx="3"/>
        </xdr:cNvCxnSpPr>
      </xdr:nvCxnSpPr>
      <xdr:spPr>
        <a:xfrm rot="10800000">
          <a:off x="5080000" y="386280"/>
          <a:ext cx="4445000" cy="12700"/>
        </a:xfrm>
        <a:prstGeom prst="curvedConnector3">
          <a:avLst>
            <a:gd name="adj1" fmla="val 79010"/>
          </a:avLst>
        </a:prstGeom>
        <a:ln w="19050">
          <a:solidFill>
            <a:srgbClr val="00FF00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603250</xdr:colOff>
      <xdr:row>2</xdr:row>
      <xdr:rowOff>5280</xdr:rowOff>
    </xdr:from>
    <xdr:to>
      <xdr:col>16</xdr:col>
      <xdr:colOff>323850</xdr:colOff>
      <xdr:row>12</xdr:row>
      <xdr:rowOff>183080</xdr:rowOff>
    </xdr:to>
    <xdr:cxnSp macro="">
      <xdr:nvCxnSpPr>
        <xdr:cNvPr id="3393" name="Скругленная соединительная линия 3392"/>
        <xdr:cNvCxnSpPr>
          <a:stCxn id="3374" idx="3"/>
          <a:endCxn id="3373" idx="1"/>
        </xdr:cNvCxnSpPr>
      </xdr:nvCxnSpPr>
      <xdr:spPr>
        <a:xfrm flipV="1">
          <a:off x="1270000" y="386280"/>
          <a:ext cx="8255000" cy="2082800"/>
        </a:xfrm>
        <a:prstGeom prst="curvedConnector3">
          <a:avLst>
            <a:gd name="adj1" fmla="val 73238"/>
          </a:avLst>
        </a:prstGeom>
        <a:ln w="9525">
          <a:solidFill>
            <a:srgbClr val="4A7EBB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298450</xdr:colOff>
      <xdr:row>2</xdr:row>
      <xdr:rowOff>5280</xdr:rowOff>
    </xdr:from>
    <xdr:to>
      <xdr:col>16</xdr:col>
      <xdr:colOff>323850</xdr:colOff>
      <xdr:row>2</xdr:row>
      <xdr:rowOff>17980</xdr:rowOff>
    </xdr:to>
    <xdr:cxnSp macro="">
      <xdr:nvCxnSpPr>
        <xdr:cNvPr id="3394" name="Скругленная соединительная линия 3393"/>
        <xdr:cNvCxnSpPr>
          <a:stCxn id="3375" idx="3"/>
          <a:endCxn id="3373" idx="1"/>
        </xdr:cNvCxnSpPr>
      </xdr:nvCxnSpPr>
      <xdr:spPr>
        <a:xfrm>
          <a:off x="8890000" y="386280"/>
          <a:ext cx="635000" cy="12700"/>
        </a:xfrm>
        <a:prstGeom prst="curvedConnector3">
          <a:avLst>
            <a:gd name="adj1" fmla="val 39883"/>
          </a:avLst>
        </a:prstGeom>
        <a:ln w="9525">
          <a:solidFill>
            <a:srgbClr val="4A7EBB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298450</xdr:colOff>
      <xdr:row>2</xdr:row>
      <xdr:rowOff>5280</xdr:rowOff>
    </xdr:from>
    <xdr:to>
      <xdr:col>16</xdr:col>
      <xdr:colOff>323850</xdr:colOff>
      <xdr:row>4</xdr:row>
      <xdr:rowOff>144980</xdr:rowOff>
    </xdr:to>
    <xdr:cxnSp macro="">
      <xdr:nvCxnSpPr>
        <xdr:cNvPr id="3395" name="Скругленная соединительная линия 3394"/>
        <xdr:cNvCxnSpPr>
          <a:stCxn id="3375" idx="3"/>
          <a:endCxn id="3376" idx="1"/>
        </xdr:cNvCxnSpPr>
      </xdr:nvCxnSpPr>
      <xdr:spPr>
        <a:xfrm>
          <a:off x="8890000" y="386280"/>
          <a:ext cx="635000" cy="520700"/>
        </a:xfrm>
        <a:prstGeom prst="curvedConnector3">
          <a:avLst>
            <a:gd name="adj1" fmla="val 86956"/>
          </a:avLst>
        </a:prstGeom>
        <a:ln w="9525">
          <a:solidFill>
            <a:srgbClr val="4A7EBB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374650</xdr:colOff>
      <xdr:row>2</xdr:row>
      <xdr:rowOff>5280</xdr:rowOff>
    </xdr:from>
    <xdr:to>
      <xdr:col>19</xdr:col>
      <xdr:colOff>400050</xdr:colOff>
      <xdr:row>4</xdr:row>
      <xdr:rowOff>144980</xdr:rowOff>
    </xdr:to>
    <xdr:cxnSp macro="">
      <xdr:nvCxnSpPr>
        <xdr:cNvPr id="3396" name="Скругленная соединительная линия 3395"/>
        <xdr:cNvCxnSpPr>
          <a:stCxn id="3376" idx="3"/>
          <a:endCxn id="3379" idx="1"/>
        </xdr:cNvCxnSpPr>
      </xdr:nvCxnSpPr>
      <xdr:spPr>
        <a:xfrm flipV="1">
          <a:off x="10795000" y="386280"/>
          <a:ext cx="635000" cy="520700"/>
        </a:xfrm>
        <a:prstGeom prst="curvedConnector3">
          <a:avLst>
            <a:gd name="adj1" fmla="val 79716"/>
          </a:avLst>
        </a:prstGeom>
        <a:ln w="9525">
          <a:solidFill>
            <a:srgbClr val="4A7EBB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298450</xdr:colOff>
      <xdr:row>2</xdr:row>
      <xdr:rowOff>5280</xdr:rowOff>
    </xdr:from>
    <xdr:to>
      <xdr:col>22</xdr:col>
      <xdr:colOff>476250</xdr:colOff>
      <xdr:row>4</xdr:row>
      <xdr:rowOff>144980</xdr:rowOff>
    </xdr:to>
    <xdr:cxnSp macro="">
      <xdr:nvCxnSpPr>
        <xdr:cNvPr id="3397" name="Скругленная соединительная линия 3396"/>
        <xdr:cNvCxnSpPr>
          <a:stCxn id="3377" idx="3"/>
          <a:endCxn id="3378" idx="1"/>
        </xdr:cNvCxnSpPr>
      </xdr:nvCxnSpPr>
      <xdr:spPr>
        <a:xfrm flipV="1">
          <a:off x="8890000" y="386280"/>
          <a:ext cx="4445000" cy="520700"/>
        </a:xfrm>
        <a:prstGeom prst="curvedConnector3">
          <a:avLst>
            <a:gd name="adj1" fmla="val 14499"/>
          </a:avLst>
        </a:prstGeom>
        <a:ln w="9525">
          <a:solidFill>
            <a:srgbClr val="4A7EBB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298450</xdr:colOff>
      <xdr:row>2</xdr:row>
      <xdr:rowOff>5280</xdr:rowOff>
    </xdr:from>
    <xdr:to>
      <xdr:col>19</xdr:col>
      <xdr:colOff>400050</xdr:colOff>
      <xdr:row>4</xdr:row>
      <xdr:rowOff>144980</xdr:rowOff>
    </xdr:to>
    <xdr:cxnSp macro="">
      <xdr:nvCxnSpPr>
        <xdr:cNvPr id="3398" name="Скругленная соединительная линия 3397"/>
        <xdr:cNvCxnSpPr>
          <a:stCxn id="3377" idx="3"/>
          <a:endCxn id="3379" idx="1"/>
        </xdr:cNvCxnSpPr>
      </xdr:nvCxnSpPr>
      <xdr:spPr>
        <a:xfrm flipV="1">
          <a:off x="8890000" y="386280"/>
          <a:ext cx="2540000" cy="520700"/>
        </a:xfrm>
        <a:prstGeom prst="curvedConnector3">
          <a:avLst>
            <a:gd name="adj1" fmla="val 85965"/>
          </a:avLst>
        </a:prstGeom>
        <a:ln w="9525">
          <a:solidFill>
            <a:srgbClr val="4A7EBB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69850</xdr:colOff>
      <xdr:row>2</xdr:row>
      <xdr:rowOff>5280</xdr:rowOff>
    </xdr:from>
    <xdr:to>
      <xdr:col>22</xdr:col>
      <xdr:colOff>476250</xdr:colOff>
      <xdr:row>21</xdr:row>
      <xdr:rowOff>30680</xdr:rowOff>
    </xdr:to>
    <xdr:cxnSp macro="">
      <xdr:nvCxnSpPr>
        <xdr:cNvPr id="3399" name="Скругленная соединительная линия 3398"/>
        <xdr:cNvCxnSpPr>
          <a:stCxn id="3378" idx="1"/>
          <a:endCxn id="3369" idx="3"/>
        </xdr:cNvCxnSpPr>
      </xdr:nvCxnSpPr>
      <xdr:spPr>
        <a:xfrm rot="10800000" flipV="1">
          <a:off x="3175000" y="386280"/>
          <a:ext cx="10160000" cy="3644900"/>
        </a:xfrm>
        <a:prstGeom prst="curvedConnector3">
          <a:avLst>
            <a:gd name="adj1" fmla="val 39121"/>
          </a:avLst>
        </a:prstGeom>
        <a:ln w="9525">
          <a:solidFill>
            <a:srgbClr val="4A7EBB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450850</xdr:colOff>
      <xdr:row>2</xdr:row>
      <xdr:rowOff>5280</xdr:rowOff>
    </xdr:from>
    <xdr:to>
      <xdr:col>22</xdr:col>
      <xdr:colOff>476250</xdr:colOff>
      <xdr:row>2</xdr:row>
      <xdr:rowOff>17980</xdr:rowOff>
    </xdr:to>
    <xdr:cxnSp macro="">
      <xdr:nvCxnSpPr>
        <xdr:cNvPr id="3400" name="Скругленная соединительная линия 3399"/>
        <xdr:cNvCxnSpPr>
          <a:stCxn id="3379" idx="3"/>
          <a:endCxn id="3378" idx="1"/>
        </xdr:cNvCxnSpPr>
      </xdr:nvCxnSpPr>
      <xdr:spPr>
        <a:xfrm>
          <a:off x="12700000" y="386280"/>
          <a:ext cx="635000" cy="12700"/>
        </a:xfrm>
        <a:prstGeom prst="curvedConnector3">
          <a:avLst>
            <a:gd name="adj1" fmla="val 51989"/>
          </a:avLst>
        </a:prstGeom>
        <a:ln w="9525">
          <a:solidFill>
            <a:srgbClr val="4A7EBB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Q135"/>
  <sheetViews>
    <sheetView zoomScale="90" zoomScaleNormal="90" workbookViewId="0">
      <pane ySplit="2" topLeftCell="A87" activePane="bottomLeft" state="frozen"/>
      <selection pane="bottomLeft" sqref="A1:XFD1"/>
    </sheetView>
  </sheetViews>
  <sheetFormatPr defaultRowHeight="15" x14ac:dyDescent="0.25"/>
  <cols>
    <col min="1" max="1" width="4.28515625" style="3" customWidth="1"/>
    <col min="2" max="2" width="18.42578125" style="3" bestFit="1" customWidth="1"/>
    <col min="3" max="3" width="12.42578125" style="3" customWidth="1"/>
    <col min="4" max="4" width="59" style="4" customWidth="1"/>
    <col min="5" max="5" width="19.42578125" style="3" customWidth="1"/>
    <col min="6" max="6" width="6.140625" style="3" customWidth="1"/>
    <col min="7" max="7" width="15.28515625" style="3" customWidth="1"/>
    <col min="8" max="8" width="5.42578125" style="3" customWidth="1"/>
    <col min="9" max="9" width="30.5703125" style="3" customWidth="1"/>
    <col min="10" max="10" width="17.7109375" style="3" customWidth="1"/>
    <col min="11" max="11" width="7.5703125" style="3" customWidth="1"/>
    <col min="12" max="12" width="25.5703125" style="3" customWidth="1"/>
    <col min="13" max="16384" width="9.140625" style="3"/>
  </cols>
  <sheetData>
    <row r="1" spans="1:17" s="4" customFormat="1" ht="9.75" customHeight="1" x14ac:dyDescent="0.25">
      <c r="A1" s="4" t="s">
        <v>170</v>
      </c>
      <c r="B1" s="4" t="s">
        <v>160</v>
      </c>
      <c r="C1" s="4" t="s">
        <v>161</v>
      </c>
      <c r="D1" s="4" t="s">
        <v>162</v>
      </c>
      <c r="E1" s="4" t="s">
        <v>163</v>
      </c>
      <c r="F1" s="4" t="s">
        <v>164</v>
      </c>
      <c r="G1" s="4" t="s">
        <v>165</v>
      </c>
      <c r="H1" s="4" t="s">
        <v>166</v>
      </c>
      <c r="I1" s="4" t="s">
        <v>1</v>
      </c>
      <c r="J1" s="4" t="s">
        <v>167</v>
      </c>
      <c r="K1" s="4" t="s">
        <v>168</v>
      </c>
      <c r="L1" s="4" t="s">
        <v>169</v>
      </c>
    </row>
    <row r="2" spans="1:17" s="1" customFormat="1" ht="30" x14ac:dyDescent="0.25">
      <c r="A2" s="1" t="s">
        <v>65</v>
      </c>
      <c r="B2" s="1" t="s">
        <v>4</v>
      </c>
      <c r="C2" s="1" t="s">
        <v>5</v>
      </c>
      <c r="D2" s="2" t="s">
        <v>52</v>
      </c>
      <c r="E2" s="1" t="s">
        <v>3</v>
      </c>
      <c r="F2" s="1" t="s">
        <v>55</v>
      </c>
      <c r="G2" s="1" t="s">
        <v>0</v>
      </c>
      <c r="H2" s="1" t="s">
        <v>6</v>
      </c>
      <c r="I2" s="1" t="s">
        <v>1</v>
      </c>
      <c r="J2" s="1" t="s">
        <v>56</v>
      </c>
      <c r="K2" s="1" t="s">
        <v>55</v>
      </c>
      <c r="L2" s="1" t="s">
        <v>2</v>
      </c>
      <c r="M2" s="1" t="s">
        <v>173</v>
      </c>
      <c r="N2" s="1" t="s">
        <v>172</v>
      </c>
      <c r="O2" s="1" t="s">
        <v>174</v>
      </c>
    </row>
    <row r="3" spans="1:17" s="5" customFormat="1" ht="42.75" customHeight="1" x14ac:dyDescent="0.25">
      <c r="A3" s="11">
        <v>1</v>
      </c>
      <c r="B3" s="6" t="s">
        <v>8</v>
      </c>
      <c r="C3" s="5" t="s">
        <v>7</v>
      </c>
      <c r="D3" s="6" t="s">
        <v>63</v>
      </c>
      <c r="G3" s="5" t="s">
        <v>171</v>
      </c>
      <c r="H3" s="5">
        <v>16</v>
      </c>
      <c r="I3" s="38" t="s">
        <v>64</v>
      </c>
      <c r="J3" s="5" t="s">
        <v>104</v>
      </c>
      <c r="K3" s="5" t="s">
        <v>57</v>
      </c>
      <c r="M3" s="5">
        <f t="shared" ref="M3" si="0" xml:space="preserve"> IF(  ISBLANK(E3),0,VLOOKUP(E3,E:O,11,FALSE))</f>
        <v>0</v>
      </c>
    </row>
    <row r="4" spans="1:17" s="5" customFormat="1" ht="53.25" customHeight="1" x14ac:dyDescent="0.25">
      <c r="A4" s="11">
        <v>2</v>
      </c>
      <c r="B4" s="6" t="s">
        <v>53</v>
      </c>
      <c r="C4" s="5" t="s">
        <v>7</v>
      </c>
      <c r="D4" s="6">
        <v>16</v>
      </c>
      <c r="G4" s="5" t="s">
        <v>171</v>
      </c>
      <c r="H4" s="5">
        <v>17</v>
      </c>
      <c r="I4" s="38"/>
      <c r="J4" s="5" t="s">
        <v>105</v>
      </c>
      <c r="K4" s="5" t="s">
        <v>106</v>
      </c>
      <c r="L4" s="5">
        <f>MATCH("Твых",1:1,0)</f>
        <v>3</v>
      </c>
      <c r="M4" s="5">
        <f xml:space="preserve"> IF(  ISBLANK(E4),0,VLOOKUP(E4,E:O,11,FALSE))</f>
        <v>0</v>
      </c>
    </row>
    <row r="5" spans="1:17" s="9" customFormat="1" ht="50.25" customHeight="1" thickBot="1" x14ac:dyDescent="0.3">
      <c r="A5" s="32" t="s">
        <v>10</v>
      </c>
      <c r="B5" s="8" t="s">
        <v>54</v>
      </c>
      <c r="C5" s="7" t="s">
        <v>7</v>
      </c>
      <c r="D5" s="8" t="s">
        <v>9</v>
      </c>
      <c r="E5" s="7" t="s">
        <v>10</v>
      </c>
      <c r="F5" s="7" t="s">
        <v>57</v>
      </c>
      <c r="G5" s="7" t="s">
        <v>171</v>
      </c>
      <c r="H5" s="7">
        <v>18</v>
      </c>
      <c r="I5" s="39"/>
      <c r="J5" s="9" t="s">
        <v>107</v>
      </c>
      <c r="K5" s="9" t="s">
        <v>108</v>
      </c>
      <c r="M5" s="5">
        <f xml:space="preserve"> IF(  ISBLANK(E5),0,VLOOKUP(E5,E:O,11,FALSE))</f>
        <v>0</v>
      </c>
      <c r="N5" s="31"/>
      <c r="O5" s="5"/>
      <c r="P5" s="5"/>
      <c r="Q5" s="5"/>
    </row>
    <row r="6" spans="1:17" s="9" customFormat="1" ht="25.5" customHeight="1" x14ac:dyDescent="0.25">
      <c r="A6" s="11">
        <v>4</v>
      </c>
      <c r="B6" s="6" t="s">
        <v>8</v>
      </c>
      <c r="C6" s="5" t="s">
        <v>7</v>
      </c>
      <c r="D6" s="6" t="s">
        <v>63</v>
      </c>
      <c r="E6" s="5"/>
      <c r="F6" s="5"/>
      <c r="G6" s="5" t="s">
        <v>171</v>
      </c>
      <c r="H6" s="9">
        <v>82</v>
      </c>
      <c r="I6" s="34" t="s">
        <v>130</v>
      </c>
      <c r="M6" s="5">
        <f t="shared" ref="M6:M69" si="1" xml:space="preserve"> IF(  ISBLANK(E6),0,VLOOKUP(E6,E:O,11,FALSE))</f>
        <v>0</v>
      </c>
      <c r="N6" s="31"/>
      <c r="O6" s="5"/>
      <c r="P6" s="5"/>
      <c r="Q6" s="5"/>
    </row>
    <row r="7" spans="1:17" s="9" customFormat="1" ht="25.5" customHeight="1" x14ac:dyDescent="0.25">
      <c r="A7" s="11">
        <v>5</v>
      </c>
      <c r="B7" s="6" t="s">
        <v>53</v>
      </c>
      <c r="C7" s="5" t="s">
        <v>7</v>
      </c>
      <c r="D7" s="6">
        <v>16</v>
      </c>
      <c r="E7" s="5"/>
      <c r="F7" s="5"/>
      <c r="G7" s="5" t="s">
        <v>171</v>
      </c>
      <c r="H7" s="9">
        <v>83</v>
      </c>
      <c r="I7" s="35"/>
      <c r="M7" s="5">
        <f t="shared" si="1"/>
        <v>0</v>
      </c>
      <c r="N7" s="31"/>
      <c r="O7" s="5"/>
      <c r="P7" s="5"/>
      <c r="Q7" s="5"/>
    </row>
    <row r="8" spans="1:17" s="9" customFormat="1" ht="114" customHeight="1" thickBot="1" x14ac:dyDescent="0.3">
      <c r="A8" s="9">
        <v>6</v>
      </c>
      <c r="B8" s="8" t="s">
        <v>54</v>
      </c>
      <c r="C8" s="7" t="s">
        <v>7</v>
      </c>
      <c r="D8" s="8" t="s">
        <v>9</v>
      </c>
      <c r="E8" s="7" t="s">
        <v>10</v>
      </c>
      <c r="F8" s="7" t="s">
        <v>57</v>
      </c>
      <c r="G8" s="7" t="s">
        <v>171</v>
      </c>
      <c r="H8" s="7">
        <v>84</v>
      </c>
      <c r="I8" s="36"/>
      <c r="M8" s="5">
        <f t="shared" si="1"/>
        <v>0</v>
      </c>
      <c r="N8" s="31"/>
      <c r="O8" s="5"/>
      <c r="P8" s="5"/>
      <c r="Q8" s="5"/>
    </row>
    <row r="9" spans="1:17" s="9" customFormat="1" ht="25.5" customHeight="1" x14ac:dyDescent="0.25">
      <c r="A9" s="11">
        <v>7</v>
      </c>
      <c r="B9" s="6" t="s">
        <v>8</v>
      </c>
      <c r="C9" s="5" t="s">
        <v>7</v>
      </c>
      <c r="D9" s="6" t="s">
        <v>63</v>
      </c>
      <c r="E9" s="5"/>
      <c r="F9" s="5"/>
      <c r="G9" s="5" t="s">
        <v>171</v>
      </c>
      <c r="H9" s="9">
        <v>148</v>
      </c>
      <c r="I9" s="34" t="s">
        <v>131</v>
      </c>
      <c r="M9" s="5">
        <f t="shared" si="1"/>
        <v>0</v>
      </c>
      <c r="N9" s="31"/>
      <c r="O9" s="5"/>
      <c r="P9" s="5"/>
      <c r="Q9" s="5"/>
    </row>
    <row r="10" spans="1:17" s="9" customFormat="1" ht="25.5" customHeight="1" x14ac:dyDescent="0.25">
      <c r="A10" s="11">
        <v>8</v>
      </c>
      <c r="B10" s="6" t="s">
        <v>53</v>
      </c>
      <c r="C10" s="5" t="s">
        <v>7</v>
      </c>
      <c r="D10" s="6">
        <v>16</v>
      </c>
      <c r="E10" s="5"/>
      <c r="F10" s="5"/>
      <c r="G10" s="5" t="s">
        <v>171</v>
      </c>
      <c r="H10" s="9">
        <v>149</v>
      </c>
      <c r="I10" s="35"/>
      <c r="M10" s="5">
        <f t="shared" si="1"/>
        <v>0</v>
      </c>
      <c r="N10" s="31"/>
      <c r="O10" s="5"/>
      <c r="P10" s="5"/>
      <c r="Q10" s="5"/>
    </row>
    <row r="11" spans="1:17" s="9" customFormat="1" ht="25.5" customHeight="1" thickBot="1" x14ac:dyDescent="0.3">
      <c r="A11" s="9">
        <v>9</v>
      </c>
      <c r="B11" s="8" t="s">
        <v>54</v>
      </c>
      <c r="C11" s="7" t="s">
        <v>7</v>
      </c>
      <c r="D11" s="8" t="s">
        <v>9</v>
      </c>
      <c r="E11" s="7" t="s">
        <v>10</v>
      </c>
      <c r="F11" s="7" t="s">
        <v>57</v>
      </c>
      <c r="G11" s="7" t="s">
        <v>171</v>
      </c>
      <c r="H11" s="7">
        <v>150</v>
      </c>
      <c r="I11" s="36"/>
      <c r="M11" s="5">
        <f t="shared" si="1"/>
        <v>0</v>
      </c>
      <c r="N11" s="31"/>
      <c r="O11" s="5"/>
      <c r="P11" s="5"/>
      <c r="Q11" s="5"/>
    </row>
    <row r="12" spans="1:17" s="9" customFormat="1" ht="25.5" customHeight="1" x14ac:dyDescent="0.25">
      <c r="A12" s="11">
        <v>10</v>
      </c>
      <c r="B12" s="6" t="s">
        <v>8</v>
      </c>
      <c r="C12" s="5" t="s">
        <v>7</v>
      </c>
      <c r="D12" s="6" t="s">
        <v>63</v>
      </c>
      <c r="E12" s="5"/>
      <c r="F12" s="5"/>
      <c r="G12" s="5" t="s">
        <v>171</v>
      </c>
      <c r="H12" s="9">
        <v>214</v>
      </c>
      <c r="I12" s="35" t="s">
        <v>132</v>
      </c>
      <c r="M12" s="5">
        <f t="shared" si="1"/>
        <v>0</v>
      </c>
      <c r="N12" s="31"/>
      <c r="O12" s="5"/>
      <c r="P12" s="5"/>
      <c r="Q12" s="5"/>
    </row>
    <row r="13" spans="1:17" s="9" customFormat="1" ht="25.5" customHeight="1" x14ac:dyDescent="0.25">
      <c r="A13" s="11">
        <v>11</v>
      </c>
      <c r="B13" s="6" t="s">
        <v>53</v>
      </c>
      <c r="C13" s="5" t="s">
        <v>7</v>
      </c>
      <c r="D13" s="6">
        <v>16</v>
      </c>
      <c r="E13" s="5"/>
      <c r="F13" s="5"/>
      <c r="G13" s="5" t="s">
        <v>171</v>
      </c>
      <c r="H13" s="9">
        <v>215</v>
      </c>
      <c r="I13" s="35"/>
      <c r="M13" s="5">
        <f t="shared" si="1"/>
        <v>0</v>
      </c>
      <c r="N13" s="31"/>
      <c r="O13" s="5"/>
      <c r="P13" s="5"/>
      <c r="Q13" s="5"/>
    </row>
    <row r="14" spans="1:17" s="7" customFormat="1" ht="25.5" customHeight="1" thickBot="1" x14ac:dyDescent="0.3">
      <c r="A14" s="9">
        <v>12</v>
      </c>
      <c r="B14" s="8" t="s">
        <v>54</v>
      </c>
      <c r="C14" s="7" t="s">
        <v>7</v>
      </c>
      <c r="D14" s="8" t="s">
        <v>9</v>
      </c>
      <c r="E14" s="7" t="s">
        <v>10</v>
      </c>
      <c r="F14" s="7" t="s">
        <v>57</v>
      </c>
      <c r="G14" s="7" t="s">
        <v>171</v>
      </c>
      <c r="H14" s="7">
        <v>216</v>
      </c>
      <c r="I14" s="35"/>
      <c r="M14" s="5">
        <f t="shared" si="1"/>
        <v>0</v>
      </c>
      <c r="N14" s="32"/>
      <c r="O14" s="5"/>
      <c r="P14" s="5"/>
      <c r="Q14" s="5"/>
    </row>
    <row r="15" spans="1:17" s="9" customFormat="1" x14ac:dyDescent="0.25">
      <c r="A15" s="11">
        <v>13</v>
      </c>
      <c r="B15" s="22" t="s">
        <v>11</v>
      </c>
      <c r="C15" s="9" t="s">
        <v>43</v>
      </c>
      <c r="D15" s="12" t="s">
        <v>58</v>
      </c>
      <c r="I15" s="34" t="s">
        <v>51</v>
      </c>
      <c r="J15" s="9" t="s">
        <v>60</v>
      </c>
      <c r="K15" s="9" t="s">
        <v>57</v>
      </c>
      <c r="L15" s="15" t="s">
        <v>11</v>
      </c>
      <c r="M15" s="5">
        <f t="shared" si="1"/>
        <v>0</v>
      </c>
      <c r="N15" s="31"/>
      <c r="O15" s="5"/>
      <c r="P15" s="5"/>
      <c r="Q15" s="5"/>
    </row>
    <row r="16" spans="1:17" s="9" customFormat="1" ht="30" customHeight="1" x14ac:dyDescent="0.25">
      <c r="A16" s="11">
        <v>14</v>
      </c>
      <c r="B16" s="22" t="s">
        <v>12</v>
      </c>
      <c r="C16" s="9" t="s">
        <v>43</v>
      </c>
      <c r="D16" s="12" t="s">
        <v>59</v>
      </c>
      <c r="I16" s="35"/>
      <c r="J16" s="9" t="s">
        <v>62</v>
      </c>
      <c r="K16" s="9" t="s">
        <v>61</v>
      </c>
      <c r="L16" s="15" t="s">
        <v>66</v>
      </c>
      <c r="M16" s="5">
        <f t="shared" si="1"/>
        <v>0</v>
      </c>
      <c r="N16" s="31"/>
      <c r="O16" s="5"/>
      <c r="P16" s="5"/>
      <c r="Q16" s="5"/>
    </row>
    <row r="17" spans="1:17" s="9" customFormat="1" ht="30" customHeight="1" x14ac:dyDescent="0.25">
      <c r="A17" s="9">
        <v>15</v>
      </c>
      <c r="B17" s="23" t="s">
        <v>13</v>
      </c>
      <c r="C17" s="9" t="s">
        <v>43</v>
      </c>
      <c r="D17" s="10" t="s">
        <v>13</v>
      </c>
      <c r="E17" s="9" t="s">
        <v>44</v>
      </c>
      <c r="F17" s="9" t="s">
        <v>57</v>
      </c>
      <c r="G17" s="11" t="s">
        <v>171</v>
      </c>
      <c r="H17" s="9">
        <v>341</v>
      </c>
      <c r="I17" s="35"/>
      <c r="J17" s="9" t="s">
        <v>98</v>
      </c>
      <c r="K17" s="9" t="s">
        <v>99</v>
      </c>
      <c r="L17" s="15" t="s">
        <v>67</v>
      </c>
      <c r="M17" s="5">
        <f t="shared" si="1"/>
        <v>0</v>
      </c>
      <c r="N17" s="31"/>
      <c r="O17" s="5"/>
      <c r="P17" s="5"/>
      <c r="Q17" s="5"/>
    </row>
    <row r="18" spans="1:17" s="9" customFormat="1" ht="285" x14ac:dyDescent="0.25">
      <c r="A18" s="11">
        <v>16</v>
      </c>
      <c r="B18" s="23" t="s">
        <v>14</v>
      </c>
      <c r="C18" s="9" t="s">
        <v>43</v>
      </c>
      <c r="D18" s="10" t="s">
        <v>73</v>
      </c>
      <c r="G18" s="11" t="s">
        <v>171</v>
      </c>
      <c r="H18" s="9">
        <v>342</v>
      </c>
      <c r="I18" s="35"/>
      <c r="J18" s="9" t="s">
        <v>100</v>
      </c>
      <c r="K18" s="9" t="s">
        <v>101</v>
      </c>
      <c r="L18" s="15" t="s">
        <v>68</v>
      </c>
      <c r="M18" s="5">
        <f t="shared" si="1"/>
        <v>0</v>
      </c>
      <c r="N18" s="31"/>
      <c r="O18" s="5"/>
      <c r="P18" s="5"/>
      <c r="Q18" s="5"/>
    </row>
    <row r="19" spans="1:17" s="9" customFormat="1" ht="30" customHeight="1" x14ac:dyDescent="0.25">
      <c r="A19" s="11">
        <v>17</v>
      </c>
      <c r="B19" s="23" t="s">
        <v>15</v>
      </c>
      <c r="C19" s="9" t="s">
        <v>43</v>
      </c>
      <c r="D19" s="10">
        <v>1</v>
      </c>
      <c r="G19" s="11" t="s">
        <v>171</v>
      </c>
      <c r="I19" s="35"/>
      <c r="J19" s="9" t="s">
        <v>102</v>
      </c>
      <c r="K19" s="9" t="s">
        <v>103</v>
      </c>
      <c r="L19" s="15" t="s">
        <v>69</v>
      </c>
      <c r="M19" s="5">
        <f t="shared" si="1"/>
        <v>0</v>
      </c>
      <c r="N19" s="31"/>
      <c r="O19" s="5"/>
      <c r="P19" s="5"/>
      <c r="Q19" s="5"/>
    </row>
    <row r="20" spans="1:17" s="9" customFormat="1" ht="60" x14ac:dyDescent="0.25">
      <c r="A20" s="9">
        <v>18</v>
      </c>
      <c r="B20" s="23" t="s">
        <v>16</v>
      </c>
      <c r="C20" s="9" t="s">
        <v>43</v>
      </c>
      <c r="D20" s="10" t="s">
        <v>45</v>
      </c>
      <c r="G20" s="11" t="s">
        <v>171</v>
      </c>
      <c r="H20" s="9">
        <v>362</v>
      </c>
      <c r="I20" s="35"/>
      <c r="J20" s="9" t="s">
        <v>119</v>
      </c>
      <c r="K20" s="9" t="s">
        <v>113</v>
      </c>
      <c r="L20" s="15" t="s">
        <v>70</v>
      </c>
      <c r="M20" s="5">
        <f t="shared" si="1"/>
        <v>0</v>
      </c>
      <c r="N20" s="31"/>
      <c r="O20" s="5"/>
      <c r="P20" s="5"/>
      <c r="Q20" s="5"/>
    </row>
    <row r="21" spans="1:17" s="11" customFormat="1" ht="121.5" customHeight="1" x14ac:dyDescent="0.25">
      <c r="A21" s="11">
        <v>19</v>
      </c>
      <c r="B21" s="24" t="s">
        <v>17</v>
      </c>
      <c r="C21" s="11" t="s">
        <v>43</v>
      </c>
      <c r="D21" s="16" t="s">
        <v>46</v>
      </c>
      <c r="G21" s="11" t="s">
        <v>171</v>
      </c>
      <c r="H21" s="11">
        <v>366</v>
      </c>
      <c r="I21" s="35"/>
      <c r="L21" s="17" t="s">
        <v>71</v>
      </c>
      <c r="M21" s="5">
        <f t="shared" si="1"/>
        <v>0</v>
      </c>
      <c r="O21" s="5"/>
      <c r="P21" s="5"/>
      <c r="Q21" s="5"/>
    </row>
    <row r="22" spans="1:17" s="9" customFormat="1" ht="120" x14ac:dyDescent="0.25">
      <c r="A22" s="11">
        <v>20</v>
      </c>
      <c r="B22" s="23" t="s">
        <v>18</v>
      </c>
      <c r="C22" s="9" t="s">
        <v>43</v>
      </c>
      <c r="D22" s="10" t="s">
        <v>47</v>
      </c>
      <c r="G22" s="11" t="s">
        <v>171</v>
      </c>
      <c r="H22" s="9">
        <v>371</v>
      </c>
      <c r="I22" s="35"/>
      <c r="L22" s="15" t="s">
        <v>72</v>
      </c>
      <c r="M22" s="5">
        <f t="shared" si="1"/>
        <v>0</v>
      </c>
      <c r="N22" s="31"/>
      <c r="O22" s="5"/>
      <c r="P22" s="5"/>
      <c r="Q22" s="5"/>
    </row>
    <row r="23" spans="1:17" s="9" customFormat="1" ht="30" x14ac:dyDescent="0.25">
      <c r="A23" s="9">
        <v>21</v>
      </c>
      <c r="B23" s="23" t="s">
        <v>19</v>
      </c>
      <c r="C23" s="9" t="s">
        <v>43</v>
      </c>
      <c r="D23" s="13" t="s">
        <v>19</v>
      </c>
      <c r="E23" s="9" t="s">
        <v>62</v>
      </c>
      <c r="F23" s="9" t="s">
        <v>61</v>
      </c>
      <c r="G23" s="11" t="s">
        <v>171</v>
      </c>
      <c r="H23" s="9">
        <v>376</v>
      </c>
      <c r="I23" s="35"/>
      <c r="M23" s="5">
        <f t="shared" si="1"/>
        <v>0</v>
      </c>
      <c r="N23" s="31"/>
      <c r="O23" s="5"/>
      <c r="P23" s="5"/>
      <c r="Q23" s="5"/>
    </row>
    <row r="24" spans="1:17" s="9" customFormat="1" ht="30" x14ac:dyDescent="0.25">
      <c r="A24" s="11">
        <v>22</v>
      </c>
      <c r="B24" s="23" t="s">
        <v>20</v>
      </c>
      <c r="C24" s="9" t="s">
        <v>43</v>
      </c>
      <c r="D24" s="13" t="s">
        <v>20</v>
      </c>
      <c r="E24" s="9" t="s">
        <v>62</v>
      </c>
      <c r="F24" s="9" t="s">
        <v>61</v>
      </c>
      <c r="G24" s="11" t="s">
        <v>171</v>
      </c>
      <c r="H24" s="9">
        <v>377</v>
      </c>
      <c r="I24" s="35"/>
      <c r="M24" s="5">
        <f t="shared" si="1"/>
        <v>0</v>
      </c>
      <c r="N24" s="31"/>
      <c r="O24" s="5"/>
      <c r="P24" s="5"/>
      <c r="Q24" s="5"/>
    </row>
    <row r="25" spans="1:17" s="9" customFormat="1" ht="30" x14ac:dyDescent="0.25">
      <c r="A25" s="11">
        <v>23</v>
      </c>
      <c r="B25" s="23" t="s">
        <v>21</v>
      </c>
      <c r="C25" s="9" t="s">
        <v>43</v>
      </c>
      <c r="D25" s="13" t="s">
        <v>21</v>
      </c>
      <c r="E25" s="9" t="s">
        <v>62</v>
      </c>
      <c r="F25" s="9" t="s">
        <v>61</v>
      </c>
      <c r="G25" s="11" t="s">
        <v>171</v>
      </c>
      <c r="H25" s="9">
        <v>378</v>
      </c>
      <c r="I25" s="35"/>
      <c r="L25" s="9" t="s">
        <v>74</v>
      </c>
      <c r="M25" s="5">
        <f t="shared" si="1"/>
        <v>0</v>
      </c>
      <c r="N25" s="31"/>
      <c r="O25" s="5"/>
      <c r="P25" s="5"/>
      <c r="Q25" s="5"/>
    </row>
    <row r="26" spans="1:17" s="9" customFormat="1" ht="30" x14ac:dyDescent="0.25">
      <c r="A26" s="9">
        <v>24</v>
      </c>
      <c r="B26" s="23" t="s">
        <v>22</v>
      </c>
      <c r="C26" s="9" t="s">
        <v>43</v>
      </c>
      <c r="D26" s="13" t="s">
        <v>22</v>
      </c>
      <c r="E26" s="9" t="s">
        <v>62</v>
      </c>
      <c r="F26" s="9" t="s">
        <v>61</v>
      </c>
      <c r="G26" s="11" t="s">
        <v>171</v>
      </c>
      <c r="H26" s="9">
        <v>379</v>
      </c>
      <c r="I26" s="35"/>
      <c r="M26" s="5">
        <f t="shared" si="1"/>
        <v>0</v>
      </c>
      <c r="N26" s="31"/>
      <c r="O26" s="5"/>
      <c r="P26" s="5"/>
      <c r="Q26" s="5"/>
    </row>
    <row r="27" spans="1:17" s="9" customFormat="1" ht="30" x14ac:dyDescent="0.25">
      <c r="A27" s="11">
        <v>25</v>
      </c>
      <c r="B27" s="23" t="s">
        <v>23</v>
      </c>
      <c r="C27" s="9" t="s">
        <v>43</v>
      </c>
      <c r="D27" s="13" t="s">
        <v>23</v>
      </c>
      <c r="E27" s="9" t="s">
        <v>62</v>
      </c>
      <c r="F27" s="9" t="s">
        <v>61</v>
      </c>
      <c r="G27" s="11" t="s">
        <v>171</v>
      </c>
      <c r="H27" s="9">
        <v>380</v>
      </c>
      <c r="I27" s="35"/>
      <c r="M27" s="5">
        <f t="shared" si="1"/>
        <v>0</v>
      </c>
      <c r="N27" s="31"/>
      <c r="O27" s="5"/>
      <c r="P27" s="5"/>
      <c r="Q27" s="5"/>
    </row>
    <row r="28" spans="1:17" s="9" customFormat="1" ht="30" x14ac:dyDescent="0.25">
      <c r="A28" s="11">
        <v>26</v>
      </c>
      <c r="B28" s="23" t="s">
        <v>24</v>
      </c>
      <c r="C28" s="9" t="s">
        <v>43</v>
      </c>
      <c r="D28" s="13" t="s">
        <v>24</v>
      </c>
      <c r="E28" s="9" t="s">
        <v>62</v>
      </c>
      <c r="F28" s="9" t="s">
        <v>61</v>
      </c>
      <c r="G28" s="11" t="s">
        <v>171</v>
      </c>
      <c r="H28" s="9">
        <v>381</v>
      </c>
      <c r="I28" s="35"/>
      <c r="L28" s="14" t="s">
        <v>74</v>
      </c>
      <c r="M28" s="5">
        <f t="shared" si="1"/>
        <v>0</v>
      </c>
      <c r="N28" s="31"/>
      <c r="O28" s="5"/>
      <c r="P28" s="5"/>
      <c r="Q28" s="5"/>
    </row>
    <row r="29" spans="1:17" s="9" customFormat="1" ht="30" x14ac:dyDescent="0.25">
      <c r="A29" s="9">
        <v>27</v>
      </c>
      <c r="B29" s="23" t="s">
        <v>48</v>
      </c>
      <c r="C29" s="9" t="s">
        <v>43</v>
      </c>
      <c r="D29" s="10" t="s">
        <v>49</v>
      </c>
      <c r="G29" s="11" t="s">
        <v>171</v>
      </c>
      <c r="H29" s="9">
        <v>382</v>
      </c>
      <c r="I29" s="35"/>
      <c r="L29" s="14" t="s">
        <v>75</v>
      </c>
      <c r="M29" s="5">
        <f t="shared" si="1"/>
        <v>0</v>
      </c>
      <c r="N29" s="31"/>
      <c r="O29" s="5"/>
      <c r="P29" s="5"/>
      <c r="Q29" s="5"/>
    </row>
    <row r="30" spans="1:17" s="9" customFormat="1" ht="315" x14ac:dyDescent="0.25">
      <c r="A30" s="11">
        <v>28</v>
      </c>
      <c r="B30" s="23" t="s">
        <v>25</v>
      </c>
      <c r="C30" s="9" t="s">
        <v>43</v>
      </c>
      <c r="D30" s="10" t="s">
        <v>95</v>
      </c>
      <c r="G30" s="11" t="s">
        <v>171</v>
      </c>
      <c r="H30" s="9">
        <v>383</v>
      </c>
      <c r="I30" s="35"/>
      <c r="L30" s="15" t="s">
        <v>76</v>
      </c>
      <c r="M30" s="5">
        <f t="shared" si="1"/>
        <v>0</v>
      </c>
      <c r="N30" s="31"/>
      <c r="O30" s="5"/>
      <c r="P30" s="5"/>
      <c r="Q30" s="5"/>
    </row>
    <row r="31" spans="1:17" s="9" customFormat="1" ht="30" x14ac:dyDescent="0.25">
      <c r="A31" s="11">
        <v>29</v>
      </c>
      <c r="B31" s="23" t="s">
        <v>26</v>
      </c>
      <c r="C31" s="9" t="s">
        <v>43</v>
      </c>
      <c r="D31" s="10" t="s">
        <v>50</v>
      </c>
      <c r="G31" s="11" t="s">
        <v>171</v>
      </c>
      <c r="H31" s="9">
        <v>396</v>
      </c>
      <c r="I31" s="35"/>
      <c r="L31" s="15" t="s">
        <v>77</v>
      </c>
      <c r="M31" s="5">
        <f t="shared" si="1"/>
        <v>0</v>
      </c>
      <c r="N31" s="31"/>
      <c r="O31" s="5"/>
      <c r="P31" s="5"/>
      <c r="Q31" s="5"/>
    </row>
    <row r="32" spans="1:17" s="9" customFormat="1" ht="30" x14ac:dyDescent="0.25">
      <c r="A32" s="9">
        <v>30</v>
      </c>
      <c r="B32" s="23" t="s">
        <v>27</v>
      </c>
      <c r="C32" s="9" t="s">
        <v>43</v>
      </c>
      <c r="D32" s="10" t="s">
        <v>50</v>
      </c>
      <c r="G32" s="11" t="s">
        <v>171</v>
      </c>
      <c r="H32" s="9">
        <v>397</v>
      </c>
      <c r="I32" s="35"/>
      <c r="L32" s="14" t="s">
        <v>78</v>
      </c>
      <c r="M32" s="5">
        <f t="shared" si="1"/>
        <v>0</v>
      </c>
      <c r="N32" s="31"/>
      <c r="O32" s="5"/>
      <c r="P32" s="5"/>
      <c r="Q32" s="5"/>
    </row>
    <row r="33" spans="1:17" s="9" customFormat="1" ht="125.25" customHeight="1" x14ac:dyDescent="0.25">
      <c r="A33" s="11">
        <v>31</v>
      </c>
      <c r="B33" s="23" t="s">
        <v>28</v>
      </c>
      <c r="C33" s="9" t="s">
        <v>43</v>
      </c>
      <c r="D33" s="10" t="s">
        <v>96</v>
      </c>
      <c r="G33" s="11" t="s">
        <v>171</v>
      </c>
      <c r="H33" s="9">
        <v>398</v>
      </c>
      <c r="I33" s="35"/>
      <c r="L33" s="15" t="s">
        <v>79</v>
      </c>
      <c r="M33" s="5">
        <f t="shared" si="1"/>
        <v>0</v>
      </c>
      <c r="N33" s="31"/>
      <c r="O33" s="5"/>
      <c r="P33" s="5"/>
      <c r="Q33" s="5"/>
    </row>
    <row r="34" spans="1:17" s="9" customFormat="1" ht="30" x14ac:dyDescent="0.25">
      <c r="A34" s="11">
        <v>32</v>
      </c>
      <c r="B34" s="23" t="s">
        <v>29</v>
      </c>
      <c r="C34" s="9" t="s">
        <v>43</v>
      </c>
      <c r="D34" s="10" t="s">
        <v>97</v>
      </c>
      <c r="E34" s="9" t="s">
        <v>62</v>
      </c>
      <c r="F34" s="9" t="s">
        <v>61</v>
      </c>
      <c r="G34" s="11" t="s">
        <v>171</v>
      </c>
      <c r="H34" s="9">
        <v>403</v>
      </c>
      <c r="I34" s="35"/>
      <c r="L34" s="15" t="s">
        <v>80</v>
      </c>
      <c r="M34" s="5">
        <f t="shared" si="1"/>
        <v>0</v>
      </c>
      <c r="N34" s="31"/>
      <c r="O34" s="5"/>
      <c r="P34" s="5"/>
      <c r="Q34" s="5"/>
    </row>
    <row r="35" spans="1:17" s="9" customFormat="1" ht="30" x14ac:dyDescent="0.25">
      <c r="A35" s="9">
        <v>33</v>
      </c>
      <c r="B35" s="23" t="s">
        <v>30</v>
      </c>
      <c r="C35" s="9" t="s">
        <v>43</v>
      </c>
      <c r="D35" s="10">
        <v>0</v>
      </c>
      <c r="G35" s="11" t="s">
        <v>171</v>
      </c>
      <c r="H35" s="9">
        <v>404</v>
      </c>
      <c r="I35" s="35"/>
      <c r="L35" s="15" t="s">
        <v>81</v>
      </c>
      <c r="M35" s="5">
        <f t="shared" si="1"/>
        <v>0</v>
      </c>
      <c r="N35" s="31"/>
      <c r="O35" s="5"/>
      <c r="P35" s="5"/>
      <c r="Q35" s="5"/>
    </row>
    <row r="36" spans="1:17" s="9" customFormat="1" ht="30" x14ac:dyDescent="0.25">
      <c r="A36" s="11">
        <v>34</v>
      </c>
      <c r="B36" s="23" t="s">
        <v>31</v>
      </c>
      <c r="C36" s="9" t="s">
        <v>43</v>
      </c>
      <c r="D36" s="10">
        <v>0</v>
      </c>
      <c r="G36" s="11" t="s">
        <v>171</v>
      </c>
      <c r="H36" s="9">
        <v>405</v>
      </c>
      <c r="I36" s="35"/>
      <c r="L36" s="15" t="s">
        <v>82</v>
      </c>
      <c r="M36" s="5">
        <f t="shared" si="1"/>
        <v>0</v>
      </c>
      <c r="N36" s="31"/>
      <c r="O36" s="5"/>
      <c r="P36" s="5"/>
      <c r="Q36" s="5"/>
    </row>
    <row r="37" spans="1:17" s="9" customFormat="1" ht="30" x14ac:dyDescent="0.25">
      <c r="A37" s="11">
        <v>35</v>
      </c>
      <c r="B37" s="23" t="s">
        <v>32</v>
      </c>
      <c r="C37" s="9" t="s">
        <v>43</v>
      </c>
      <c r="D37" s="10" t="s">
        <v>109</v>
      </c>
      <c r="G37" s="11" t="s">
        <v>171</v>
      </c>
      <c r="H37" s="9">
        <v>406</v>
      </c>
      <c r="I37" s="35"/>
      <c r="L37" s="15" t="s">
        <v>83</v>
      </c>
      <c r="M37" s="5">
        <f t="shared" si="1"/>
        <v>0</v>
      </c>
      <c r="N37" s="31"/>
      <c r="O37" s="5"/>
      <c r="P37" s="5"/>
      <c r="Q37" s="5"/>
    </row>
    <row r="38" spans="1:17" s="9" customFormat="1" ht="30" x14ac:dyDescent="0.25">
      <c r="A38" s="9">
        <v>36</v>
      </c>
      <c r="B38" s="23" t="s">
        <v>33</v>
      </c>
      <c r="C38" s="9" t="s">
        <v>43</v>
      </c>
      <c r="D38" s="10">
        <v>0</v>
      </c>
      <c r="G38" s="11" t="s">
        <v>171</v>
      </c>
      <c r="H38" s="9">
        <v>407</v>
      </c>
      <c r="I38" s="35"/>
      <c r="L38" s="15" t="s">
        <v>84</v>
      </c>
      <c r="M38" s="5">
        <f t="shared" si="1"/>
        <v>0</v>
      </c>
      <c r="N38" s="31"/>
      <c r="O38" s="5"/>
      <c r="P38" s="5"/>
      <c r="Q38" s="5"/>
    </row>
    <row r="39" spans="1:17" s="9" customFormat="1" ht="30" x14ac:dyDescent="0.25">
      <c r="A39" s="11">
        <v>37</v>
      </c>
      <c r="B39" s="23" t="s">
        <v>34</v>
      </c>
      <c r="C39" s="9" t="s">
        <v>43</v>
      </c>
      <c r="D39" s="10">
        <v>0</v>
      </c>
      <c r="G39" s="11" t="s">
        <v>171</v>
      </c>
      <c r="H39" s="9">
        <v>408</v>
      </c>
      <c r="I39" s="35"/>
      <c r="L39" s="15" t="s">
        <v>85</v>
      </c>
      <c r="M39" s="5">
        <f t="shared" si="1"/>
        <v>0</v>
      </c>
      <c r="N39" s="31"/>
      <c r="O39" s="5"/>
      <c r="P39" s="5"/>
      <c r="Q39" s="5"/>
    </row>
    <row r="40" spans="1:17" s="9" customFormat="1" ht="94.5" customHeight="1" x14ac:dyDescent="0.25">
      <c r="A40" s="11">
        <v>38</v>
      </c>
      <c r="B40" s="23" t="s">
        <v>35</v>
      </c>
      <c r="C40" s="9" t="s">
        <v>43</v>
      </c>
      <c r="D40" s="10" t="s">
        <v>110</v>
      </c>
      <c r="G40" s="11" t="s">
        <v>171</v>
      </c>
      <c r="H40" s="9">
        <v>409</v>
      </c>
      <c r="I40" s="35"/>
      <c r="L40" s="15" t="s">
        <v>86</v>
      </c>
      <c r="M40" s="5">
        <f t="shared" si="1"/>
        <v>0</v>
      </c>
      <c r="N40" s="31"/>
      <c r="O40" s="5"/>
      <c r="P40" s="5"/>
      <c r="Q40" s="5"/>
    </row>
    <row r="41" spans="1:17" s="9" customFormat="1" ht="237.75" customHeight="1" x14ac:dyDescent="0.25">
      <c r="A41" s="9">
        <v>39</v>
      </c>
      <c r="B41" s="23" t="s">
        <v>36</v>
      </c>
      <c r="C41" s="9" t="s">
        <v>43</v>
      </c>
      <c r="D41" s="10" t="s">
        <v>111</v>
      </c>
      <c r="G41" s="11" t="s">
        <v>171</v>
      </c>
      <c r="H41" s="9">
        <v>458</v>
      </c>
      <c r="I41" s="35"/>
      <c r="L41" s="15" t="s">
        <v>87</v>
      </c>
      <c r="M41" s="5">
        <f t="shared" si="1"/>
        <v>0</v>
      </c>
      <c r="N41" s="31"/>
      <c r="O41" s="5"/>
      <c r="P41" s="5"/>
      <c r="Q41" s="5"/>
    </row>
    <row r="42" spans="1:17" s="9" customFormat="1" ht="30" x14ac:dyDescent="0.25">
      <c r="A42" s="11">
        <v>40</v>
      </c>
      <c r="B42" s="23" t="s">
        <v>37</v>
      </c>
      <c r="C42" s="9" t="s">
        <v>43</v>
      </c>
      <c r="D42" s="10" t="s">
        <v>37</v>
      </c>
      <c r="E42" s="9" t="s">
        <v>44</v>
      </c>
      <c r="F42" s="9" t="s">
        <v>57</v>
      </c>
      <c r="G42" s="11" t="s">
        <v>171</v>
      </c>
      <c r="H42" s="9">
        <v>508</v>
      </c>
      <c r="I42" s="35"/>
      <c r="L42" s="15" t="s">
        <v>88</v>
      </c>
      <c r="M42" s="5">
        <f t="shared" si="1"/>
        <v>0</v>
      </c>
      <c r="N42" s="31"/>
      <c r="O42" s="5"/>
      <c r="P42" s="5"/>
      <c r="Q42" s="5"/>
    </row>
    <row r="43" spans="1:17" s="9" customFormat="1" ht="30" x14ac:dyDescent="0.25">
      <c r="A43" s="11">
        <v>41</v>
      </c>
      <c r="B43" s="23" t="s">
        <v>112</v>
      </c>
      <c r="C43" s="9" t="s">
        <v>43</v>
      </c>
      <c r="D43" s="10" t="s">
        <v>112</v>
      </c>
      <c r="E43" s="9" t="s">
        <v>119</v>
      </c>
      <c r="F43" s="9" t="s">
        <v>113</v>
      </c>
      <c r="G43" s="11" t="s">
        <v>171</v>
      </c>
      <c r="H43" s="9">
        <v>509</v>
      </c>
      <c r="I43" s="35"/>
      <c r="L43" s="15" t="s">
        <v>89</v>
      </c>
      <c r="M43" s="5">
        <f t="shared" si="1"/>
        <v>0</v>
      </c>
      <c r="N43" s="31"/>
      <c r="O43" s="5"/>
      <c r="P43" s="5"/>
      <c r="Q43" s="5"/>
    </row>
    <row r="44" spans="1:17" s="9" customFormat="1" ht="30" x14ac:dyDescent="0.25">
      <c r="A44" s="9">
        <v>42</v>
      </c>
      <c r="B44" s="23" t="s">
        <v>38</v>
      </c>
      <c r="C44" s="9" t="s">
        <v>43</v>
      </c>
      <c r="D44" s="10" t="s">
        <v>114</v>
      </c>
      <c r="E44" s="9" t="s">
        <v>119</v>
      </c>
      <c r="F44" s="9" t="s">
        <v>113</v>
      </c>
      <c r="G44" s="11" t="s">
        <v>171</v>
      </c>
      <c r="H44" s="9">
        <v>510</v>
      </c>
      <c r="I44" s="35"/>
      <c r="L44" s="15" t="s">
        <v>90</v>
      </c>
      <c r="M44" s="5">
        <f t="shared" si="1"/>
        <v>0</v>
      </c>
      <c r="N44" s="31"/>
      <c r="O44" s="5"/>
      <c r="P44" s="5"/>
      <c r="Q44" s="5"/>
    </row>
    <row r="45" spans="1:17" s="9" customFormat="1" ht="30" x14ac:dyDescent="0.25">
      <c r="A45" s="11">
        <v>43</v>
      </c>
      <c r="B45" s="23" t="s">
        <v>39</v>
      </c>
      <c r="C45" s="9" t="s">
        <v>43</v>
      </c>
      <c r="D45" s="10" t="s">
        <v>115</v>
      </c>
      <c r="E45" s="9" t="s">
        <v>119</v>
      </c>
      <c r="F45" s="9" t="s">
        <v>113</v>
      </c>
      <c r="G45" s="11" t="s">
        <v>171</v>
      </c>
      <c r="H45" s="9">
        <v>511</v>
      </c>
      <c r="I45" s="35"/>
      <c r="L45" s="15" t="s">
        <v>91</v>
      </c>
      <c r="M45" s="5">
        <f t="shared" si="1"/>
        <v>0</v>
      </c>
      <c r="N45" s="31"/>
      <c r="O45" s="5"/>
      <c r="P45" s="5"/>
      <c r="Q45" s="5"/>
    </row>
    <row r="46" spans="1:17" s="9" customFormat="1" ht="30" x14ac:dyDescent="0.25">
      <c r="A46" s="11">
        <v>44</v>
      </c>
      <c r="B46" s="23" t="s">
        <v>40</v>
      </c>
      <c r="C46" s="9" t="s">
        <v>43</v>
      </c>
      <c r="D46" s="10" t="s">
        <v>116</v>
      </c>
      <c r="E46" s="9" t="s">
        <v>44</v>
      </c>
      <c r="F46" s="9" t="s">
        <v>57</v>
      </c>
      <c r="G46" s="11" t="s">
        <v>171</v>
      </c>
      <c r="H46" s="9">
        <v>512</v>
      </c>
      <c r="I46" s="35"/>
      <c r="L46" s="15" t="s">
        <v>92</v>
      </c>
      <c r="M46" s="5">
        <f t="shared" si="1"/>
        <v>0</v>
      </c>
      <c r="N46" s="31"/>
      <c r="O46" s="5"/>
      <c r="P46" s="5"/>
      <c r="Q46" s="5"/>
    </row>
    <row r="47" spans="1:17" s="9" customFormat="1" ht="30" x14ac:dyDescent="0.25">
      <c r="A47" s="9">
        <v>45</v>
      </c>
      <c r="B47" s="23" t="s">
        <v>41</v>
      </c>
      <c r="C47" s="9" t="s">
        <v>43</v>
      </c>
      <c r="D47" s="10" t="s">
        <v>117</v>
      </c>
      <c r="E47" s="9" t="s">
        <v>44</v>
      </c>
      <c r="F47" s="9" t="s">
        <v>57</v>
      </c>
      <c r="G47" s="11" t="s">
        <v>171</v>
      </c>
      <c r="H47" s="9">
        <v>513</v>
      </c>
      <c r="I47" s="35"/>
      <c r="L47" s="15" t="s">
        <v>93</v>
      </c>
      <c r="M47" s="5">
        <f t="shared" si="1"/>
        <v>0</v>
      </c>
      <c r="N47" s="31"/>
      <c r="O47" s="5"/>
      <c r="P47" s="5"/>
      <c r="Q47" s="5"/>
    </row>
    <row r="48" spans="1:17" s="7" customFormat="1" ht="30.75" thickBot="1" x14ac:dyDescent="0.3">
      <c r="A48" s="11">
        <v>46</v>
      </c>
      <c r="B48" s="25" t="s">
        <v>42</v>
      </c>
      <c r="C48" s="7" t="s">
        <v>43</v>
      </c>
      <c r="D48" s="8" t="s">
        <v>118</v>
      </c>
      <c r="G48" s="18" t="s">
        <v>171</v>
      </c>
      <c r="H48" s="7">
        <v>514</v>
      </c>
      <c r="I48" s="36"/>
      <c r="L48" s="19" t="s">
        <v>94</v>
      </c>
      <c r="M48" s="5">
        <f t="shared" si="1"/>
        <v>0</v>
      </c>
      <c r="N48" s="32"/>
      <c r="O48" s="5"/>
      <c r="P48" s="5"/>
      <c r="Q48" s="5"/>
    </row>
    <row r="49" spans="1:17" s="9" customFormat="1" ht="27" customHeight="1" x14ac:dyDescent="0.25">
      <c r="A49" s="11">
        <v>47</v>
      </c>
      <c r="B49" s="26" t="s">
        <v>11</v>
      </c>
      <c r="C49" s="9" t="s">
        <v>122</v>
      </c>
      <c r="D49" s="20" t="s">
        <v>123</v>
      </c>
      <c r="G49" s="11" t="s">
        <v>129</v>
      </c>
      <c r="H49" s="9">
        <v>15</v>
      </c>
      <c r="I49" s="37" t="s">
        <v>128</v>
      </c>
      <c r="J49" s="9" t="s">
        <v>124</v>
      </c>
      <c r="K49" s="9" t="s">
        <v>113</v>
      </c>
      <c r="M49" s="5">
        <f t="shared" si="1"/>
        <v>0</v>
      </c>
      <c r="N49" s="31"/>
      <c r="O49" s="5"/>
      <c r="P49" s="5"/>
      <c r="Q49" s="5"/>
    </row>
    <row r="50" spans="1:17" s="9" customFormat="1" ht="33" customHeight="1" x14ac:dyDescent="0.25">
      <c r="A50" s="9">
        <v>48</v>
      </c>
      <c r="B50" s="26" t="s">
        <v>120</v>
      </c>
      <c r="C50" s="9" t="s">
        <v>122</v>
      </c>
      <c r="D50" s="10">
        <v>12</v>
      </c>
      <c r="G50" s="11" t="s">
        <v>129</v>
      </c>
      <c r="H50" s="9">
        <v>16</v>
      </c>
      <c r="I50" s="38"/>
      <c r="J50" s="9" t="s">
        <v>125</v>
      </c>
      <c r="K50" s="9" t="s">
        <v>57</v>
      </c>
      <c r="M50" s="5">
        <f t="shared" si="1"/>
        <v>0</v>
      </c>
      <c r="N50" s="31"/>
      <c r="O50" s="5"/>
      <c r="P50" s="5"/>
      <c r="Q50" s="5"/>
    </row>
    <row r="51" spans="1:17" s="9" customFormat="1" ht="28.5" customHeight="1" x14ac:dyDescent="0.25">
      <c r="A51" s="11">
        <v>49</v>
      </c>
      <c r="B51" s="26" t="s">
        <v>121</v>
      </c>
      <c r="C51" s="9" t="s">
        <v>122</v>
      </c>
      <c r="D51" s="20" t="s">
        <v>13</v>
      </c>
      <c r="E51" s="9" t="s">
        <v>125</v>
      </c>
      <c r="F51" s="9" t="s">
        <v>57</v>
      </c>
      <c r="G51" s="11" t="s">
        <v>129</v>
      </c>
      <c r="H51" s="9">
        <v>17</v>
      </c>
      <c r="I51" s="38"/>
      <c r="J51" s="9" t="s">
        <v>126</v>
      </c>
      <c r="K51" s="9" t="s">
        <v>127</v>
      </c>
      <c r="M51" s="5">
        <f t="shared" si="1"/>
        <v>0</v>
      </c>
      <c r="N51" s="31"/>
      <c r="O51" s="5"/>
      <c r="P51" s="5"/>
      <c r="Q51" s="5"/>
    </row>
    <row r="52" spans="1:17" s="9" customFormat="1" ht="42.75" customHeight="1" x14ac:dyDescent="0.25">
      <c r="A52" s="11">
        <v>50</v>
      </c>
      <c r="B52" s="26" t="s">
        <v>11</v>
      </c>
      <c r="C52" s="9" t="s">
        <v>122</v>
      </c>
      <c r="D52" s="20" t="s">
        <v>123</v>
      </c>
      <c r="G52" s="11" t="s">
        <v>129</v>
      </c>
      <c r="H52" s="9">
        <v>40</v>
      </c>
      <c r="I52" s="35" t="s">
        <v>133</v>
      </c>
      <c r="M52" s="5">
        <f t="shared" si="1"/>
        <v>0</v>
      </c>
      <c r="N52" s="31"/>
      <c r="O52" s="5"/>
      <c r="P52" s="5"/>
      <c r="Q52" s="5"/>
    </row>
    <row r="53" spans="1:17" s="9" customFormat="1" ht="36.75" customHeight="1" x14ac:dyDescent="0.25">
      <c r="A53" s="9">
        <v>51</v>
      </c>
      <c r="B53" s="26" t="s">
        <v>120</v>
      </c>
      <c r="C53" s="9" t="s">
        <v>122</v>
      </c>
      <c r="D53" s="10">
        <v>12</v>
      </c>
      <c r="G53" s="11" t="s">
        <v>129</v>
      </c>
      <c r="H53" s="9">
        <v>41</v>
      </c>
      <c r="I53" s="35"/>
      <c r="M53" s="5">
        <f t="shared" si="1"/>
        <v>0</v>
      </c>
      <c r="N53" s="31"/>
      <c r="O53" s="5"/>
      <c r="P53" s="5"/>
      <c r="Q53" s="5"/>
    </row>
    <row r="54" spans="1:17" s="9" customFormat="1" ht="30" customHeight="1" x14ac:dyDescent="0.25">
      <c r="A54" s="11">
        <v>52</v>
      </c>
      <c r="B54" s="26" t="s">
        <v>121</v>
      </c>
      <c r="C54" s="9" t="s">
        <v>122</v>
      </c>
      <c r="D54" s="20" t="s">
        <v>13</v>
      </c>
      <c r="E54" s="9" t="s">
        <v>125</v>
      </c>
      <c r="F54" s="9" t="s">
        <v>57</v>
      </c>
      <c r="G54" s="11" t="s">
        <v>129</v>
      </c>
      <c r="H54" s="9">
        <v>42</v>
      </c>
      <c r="I54" s="35"/>
      <c r="M54" s="5">
        <f t="shared" si="1"/>
        <v>0</v>
      </c>
      <c r="N54" s="31"/>
      <c r="O54" s="5"/>
      <c r="P54" s="5"/>
      <c r="Q54" s="5"/>
    </row>
    <row r="55" spans="1:17" s="9" customFormat="1" x14ac:dyDescent="0.25">
      <c r="A55" s="11">
        <v>53</v>
      </c>
      <c r="B55" s="26" t="s">
        <v>11</v>
      </c>
      <c r="C55" s="9" t="s">
        <v>122</v>
      </c>
      <c r="D55" s="20" t="s">
        <v>123</v>
      </c>
      <c r="G55" s="11" t="s">
        <v>129</v>
      </c>
      <c r="H55" s="9">
        <v>65</v>
      </c>
      <c r="I55" s="35" t="s">
        <v>134</v>
      </c>
      <c r="M55" s="5">
        <f t="shared" si="1"/>
        <v>0</v>
      </c>
      <c r="N55" s="31"/>
      <c r="O55" s="5"/>
      <c r="P55" s="5"/>
      <c r="Q55" s="5"/>
    </row>
    <row r="56" spans="1:17" s="9" customFormat="1" x14ac:dyDescent="0.25">
      <c r="A56" s="9">
        <v>54</v>
      </c>
      <c r="B56" s="26" t="s">
        <v>120</v>
      </c>
      <c r="C56" s="9" t="s">
        <v>122</v>
      </c>
      <c r="D56" s="10">
        <v>12</v>
      </c>
      <c r="G56" s="11" t="s">
        <v>129</v>
      </c>
      <c r="H56" s="9">
        <v>66</v>
      </c>
      <c r="I56" s="35"/>
      <c r="M56" s="5">
        <f t="shared" si="1"/>
        <v>0</v>
      </c>
      <c r="N56" s="31"/>
      <c r="O56" s="5"/>
      <c r="P56" s="5"/>
      <c r="Q56" s="5"/>
    </row>
    <row r="57" spans="1:17" s="9" customFormat="1" x14ac:dyDescent="0.25">
      <c r="A57" s="11">
        <v>55</v>
      </c>
      <c r="B57" s="26" t="s">
        <v>121</v>
      </c>
      <c r="C57" s="9" t="s">
        <v>122</v>
      </c>
      <c r="D57" s="20" t="s">
        <v>13</v>
      </c>
      <c r="E57" s="9" t="s">
        <v>125</v>
      </c>
      <c r="F57" s="9" t="s">
        <v>57</v>
      </c>
      <c r="G57" s="11" t="s">
        <v>129</v>
      </c>
      <c r="H57" s="9">
        <v>67</v>
      </c>
      <c r="I57" s="35"/>
      <c r="M57" s="5">
        <f t="shared" si="1"/>
        <v>0</v>
      </c>
      <c r="N57" s="31"/>
      <c r="O57" s="5"/>
      <c r="P57" s="5"/>
      <c r="Q57" s="5"/>
    </row>
    <row r="58" spans="1:17" s="9" customFormat="1" x14ac:dyDescent="0.25">
      <c r="A58" s="11">
        <v>56</v>
      </c>
      <c r="B58" s="26" t="s">
        <v>11</v>
      </c>
      <c r="C58" s="9" t="s">
        <v>122</v>
      </c>
      <c r="D58" s="20" t="s">
        <v>123</v>
      </c>
      <c r="G58" s="11" t="s">
        <v>129</v>
      </c>
      <c r="H58" s="9">
        <v>90</v>
      </c>
      <c r="I58" s="35" t="s">
        <v>135</v>
      </c>
      <c r="M58" s="5">
        <f t="shared" si="1"/>
        <v>0</v>
      </c>
      <c r="N58" s="31"/>
      <c r="O58" s="5"/>
      <c r="P58" s="5"/>
      <c r="Q58" s="5"/>
    </row>
    <row r="59" spans="1:17" s="9" customFormat="1" x14ac:dyDescent="0.25">
      <c r="A59" s="9">
        <v>57</v>
      </c>
      <c r="B59" s="26" t="s">
        <v>120</v>
      </c>
      <c r="C59" s="9" t="s">
        <v>122</v>
      </c>
      <c r="D59" s="10">
        <v>12</v>
      </c>
      <c r="G59" s="11" t="s">
        <v>129</v>
      </c>
      <c r="H59" s="9">
        <v>91</v>
      </c>
      <c r="I59" s="35"/>
      <c r="M59" s="5">
        <f t="shared" si="1"/>
        <v>0</v>
      </c>
      <c r="N59" s="31"/>
      <c r="O59" s="5"/>
      <c r="P59" s="5"/>
      <c r="Q59" s="5"/>
    </row>
    <row r="60" spans="1:17" s="9" customFormat="1" x14ac:dyDescent="0.25">
      <c r="A60" s="11">
        <v>58</v>
      </c>
      <c r="B60" s="26" t="s">
        <v>121</v>
      </c>
      <c r="C60" s="9" t="s">
        <v>122</v>
      </c>
      <c r="D60" s="20" t="s">
        <v>13</v>
      </c>
      <c r="E60" s="9" t="s">
        <v>125</v>
      </c>
      <c r="F60" s="9" t="s">
        <v>57</v>
      </c>
      <c r="G60" s="11" t="s">
        <v>129</v>
      </c>
      <c r="H60" s="9">
        <v>92</v>
      </c>
      <c r="I60" s="35"/>
      <c r="M60" s="5">
        <f t="shared" si="1"/>
        <v>0</v>
      </c>
      <c r="N60" s="31"/>
      <c r="O60" s="5"/>
      <c r="P60" s="5"/>
      <c r="Q60" s="5"/>
    </row>
    <row r="61" spans="1:17" s="9" customFormat="1" x14ac:dyDescent="0.25">
      <c r="A61" s="11">
        <v>59</v>
      </c>
      <c r="B61" s="26" t="s">
        <v>11</v>
      </c>
      <c r="C61" s="9" t="s">
        <v>122</v>
      </c>
      <c r="D61" s="20" t="s">
        <v>123</v>
      </c>
      <c r="G61" s="11" t="s">
        <v>129</v>
      </c>
      <c r="H61" s="9">
        <v>111</v>
      </c>
      <c r="I61" s="35" t="s">
        <v>136</v>
      </c>
      <c r="M61" s="5">
        <f t="shared" si="1"/>
        <v>0</v>
      </c>
      <c r="N61" s="31"/>
      <c r="O61" s="5"/>
      <c r="P61" s="5"/>
      <c r="Q61" s="5"/>
    </row>
    <row r="62" spans="1:17" s="9" customFormat="1" x14ac:dyDescent="0.25">
      <c r="A62" s="9">
        <v>60</v>
      </c>
      <c r="B62" s="26" t="s">
        <v>120</v>
      </c>
      <c r="C62" s="9" t="s">
        <v>122</v>
      </c>
      <c r="D62" s="10">
        <v>12</v>
      </c>
      <c r="G62" s="11" t="s">
        <v>129</v>
      </c>
      <c r="H62" s="9">
        <v>112</v>
      </c>
      <c r="I62" s="35"/>
      <c r="M62" s="5">
        <f t="shared" si="1"/>
        <v>0</v>
      </c>
      <c r="N62" s="31"/>
      <c r="O62" s="5"/>
      <c r="P62" s="5"/>
      <c r="Q62" s="5"/>
    </row>
    <row r="63" spans="1:17" s="7" customFormat="1" ht="15.75" thickBot="1" x14ac:dyDescent="0.3">
      <c r="A63" s="18">
        <v>61</v>
      </c>
      <c r="B63" s="27" t="s">
        <v>121</v>
      </c>
      <c r="C63" s="7" t="s">
        <v>122</v>
      </c>
      <c r="D63" s="21" t="s">
        <v>13</v>
      </c>
      <c r="E63" s="7" t="s">
        <v>125</v>
      </c>
      <c r="F63" s="7" t="s">
        <v>57</v>
      </c>
      <c r="G63" s="11" t="s">
        <v>129</v>
      </c>
      <c r="H63" s="7">
        <v>113</v>
      </c>
      <c r="I63" s="36"/>
      <c r="M63" s="5">
        <f t="shared" si="1"/>
        <v>0</v>
      </c>
      <c r="N63" s="32"/>
      <c r="O63" s="5"/>
      <c r="P63" s="5"/>
      <c r="Q63" s="5"/>
    </row>
    <row r="64" spans="1:17" s="9" customFormat="1" x14ac:dyDescent="0.25">
      <c r="A64" s="11">
        <v>62</v>
      </c>
      <c r="B64" s="10" t="s">
        <v>11</v>
      </c>
      <c r="C64" s="9" t="s">
        <v>43</v>
      </c>
      <c r="D64" s="12" t="s">
        <v>63</v>
      </c>
      <c r="G64" s="11" t="s">
        <v>129</v>
      </c>
      <c r="H64" s="9">
        <v>198</v>
      </c>
      <c r="I64" s="34" t="s">
        <v>148</v>
      </c>
      <c r="J64" s="29" t="s">
        <v>140</v>
      </c>
      <c r="K64" s="9" t="s">
        <v>141</v>
      </c>
      <c r="L64" s="15" t="s">
        <v>11</v>
      </c>
      <c r="M64" s="5">
        <f t="shared" si="1"/>
        <v>0</v>
      </c>
      <c r="N64" s="31"/>
      <c r="O64" s="5"/>
      <c r="P64" s="5"/>
      <c r="Q64" s="5"/>
    </row>
    <row r="65" spans="1:17" s="9" customFormat="1" x14ac:dyDescent="0.25">
      <c r="A65" s="9">
        <v>63</v>
      </c>
      <c r="B65" s="10" t="s">
        <v>12</v>
      </c>
      <c r="C65" s="9" t="s">
        <v>43</v>
      </c>
      <c r="D65" s="10" t="s">
        <v>139</v>
      </c>
      <c r="G65" s="11" t="s">
        <v>129</v>
      </c>
      <c r="H65" s="9">
        <v>199</v>
      </c>
      <c r="I65" s="35"/>
      <c r="J65" s="9" t="s">
        <v>142</v>
      </c>
      <c r="K65" s="9" t="s">
        <v>57</v>
      </c>
      <c r="L65" s="15" t="s">
        <v>66</v>
      </c>
      <c r="M65" s="5">
        <f t="shared" si="1"/>
        <v>0</v>
      </c>
      <c r="N65" s="31"/>
      <c r="O65" s="5"/>
      <c r="P65" s="5"/>
      <c r="Q65" s="5"/>
    </row>
    <row r="66" spans="1:17" s="9" customFormat="1" x14ac:dyDescent="0.25">
      <c r="A66" s="11">
        <v>64</v>
      </c>
      <c r="B66" s="10" t="s">
        <v>13</v>
      </c>
      <c r="C66" s="9" t="s">
        <v>43</v>
      </c>
      <c r="D66" s="10" t="s">
        <v>13</v>
      </c>
      <c r="E66" s="9" t="s">
        <v>142</v>
      </c>
      <c r="F66" s="9" t="s">
        <v>57</v>
      </c>
      <c r="G66" s="11" t="s">
        <v>129</v>
      </c>
      <c r="H66" s="9">
        <v>200</v>
      </c>
      <c r="I66" s="35"/>
      <c r="J66" s="9" t="s">
        <v>119</v>
      </c>
      <c r="K66" s="9" t="s">
        <v>113</v>
      </c>
      <c r="L66" s="15" t="s">
        <v>67</v>
      </c>
      <c r="M66" s="5">
        <f t="shared" si="1"/>
        <v>0</v>
      </c>
      <c r="N66" s="31"/>
      <c r="O66" s="5"/>
      <c r="P66" s="5"/>
      <c r="Q66" s="5"/>
    </row>
    <row r="67" spans="1:17" s="9" customFormat="1" x14ac:dyDescent="0.25">
      <c r="A67" s="11">
        <v>65</v>
      </c>
      <c r="B67" s="10" t="s">
        <v>14</v>
      </c>
      <c r="C67" s="9" t="s">
        <v>43</v>
      </c>
      <c r="D67" s="10" t="s">
        <v>149</v>
      </c>
      <c r="E67" s="9" t="s">
        <v>143</v>
      </c>
      <c r="F67" s="9" t="s">
        <v>144</v>
      </c>
      <c r="G67" s="11" t="s">
        <v>129</v>
      </c>
      <c r="H67" s="9">
        <v>201</v>
      </c>
      <c r="I67" s="35"/>
      <c r="J67" s="9" t="s">
        <v>143</v>
      </c>
      <c r="K67" s="9" t="s">
        <v>144</v>
      </c>
      <c r="L67" s="15" t="s">
        <v>68</v>
      </c>
      <c r="M67" s="5">
        <f t="shared" si="1"/>
        <v>0</v>
      </c>
      <c r="N67" s="31"/>
      <c r="O67" s="5"/>
      <c r="P67" s="5"/>
      <c r="Q67" s="5"/>
    </row>
    <row r="68" spans="1:17" s="9" customFormat="1" x14ac:dyDescent="0.25">
      <c r="A68" s="9">
        <v>66</v>
      </c>
      <c r="B68" s="10" t="s">
        <v>15</v>
      </c>
      <c r="C68" s="9" t="s">
        <v>43</v>
      </c>
      <c r="D68" s="10">
        <v>1</v>
      </c>
      <c r="G68" s="11" t="s">
        <v>129</v>
      </c>
      <c r="H68" s="9">
        <v>202</v>
      </c>
      <c r="I68" s="35"/>
      <c r="J68" s="9" t="s">
        <v>142</v>
      </c>
      <c r="K68" s="9" t="s">
        <v>145</v>
      </c>
      <c r="L68" s="15" t="s">
        <v>69</v>
      </c>
      <c r="M68" s="5">
        <f t="shared" si="1"/>
        <v>0</v>
      </c>
      <c r="N68" s="31"/>
      <c r="O68" s="5"/>
      <c r="P68" s="5"/>
      <c r="Q68" s="5"/>
    </row>
    <row r="69" spans="1:17" s="9" customFormat="1" ht="60" x14ac:dyDescent="0.25">
      <c r="A69" s="11">
        <v>67</v>
      </c>
      <c r="B69" s="10" t="s">
        <v>16</v>
      </c>
      <c r="C69" s="9" t="s">
        <v>43</v>
      </c>
      <c r="D69" s="10" t="s">
        <v>150</v>
      </c>
      <c r="G69" s="11" t="s">
        <v>129</v>
      </c>
      <c r="H69" s="9">
        <v>203</v>
      </c>
      <c r="I69" s="35"/>
      <c r="J69" s="9" t="s">
        <v>146</v>
      </c>
      <c r="K69" s="9" t="s">
        <v>147</v>
      </c>
      <c r="L69" s="15" t="s">
        <v>70</v>
      </c>
      <c r="M69" s="5">
        <f t="shared" si="1"/>
        <v>0</v>
      </c>
      <c r="N69" s="31"/>
      <c r="O69" s="5"/>
      <c r="P69" s="5"/>
      <c r="Q69" s="5"/>
    </row>
    <row r="70" spans="1:17" s="9" customFormat="1" ht="45" x14ac:dyDescent="0.25">
      <c r="A70" s="11">
        <v>68</v>
      </c>
      <c r="B70" s="10" t="s">
        <v>17</v>
      </c>
      <c r="C70" s="9" t="s">
        <v>43</v>
      </c>
      <c r="D70" s="10" t="s">
        <v>118</v>
      </c>
      <c r="G70" s="11" t="s">
        <v>129</v>
      </c>
      <c r="H70" s="9">
        <v>207</v>
      </c>
      <c r="I70" s="35"/>
      <c r="J70" s="9" t="s">
        <v>102</v>
      </c>
      <c r="K70" s="9" t="s">
        <v>103</v>
      </c>
      <c r="L70" s="17" t="s">
        <v>71</v>
      </c>
      <c r="M70" s="5">
        <f t="shared" ref="M70:M97" si="2" xml:space="preserve"> IF(  ISBLANK(E70),0,VLOOKUP(E70,E:O,11,FALSE))</f>
        <v>0</v>
      </c>
      <c r="N70" s="31"/>
      <c r="O70" s="5"/>
      <c r="P70" s="5"/>
      <c r="Q70" s="5"/>
    </row>
    <row r="71" spans="1:17" s="9" customFormat="1" ht="120" x14ac:dyDescent="0.25">
      <c r="A71" s="9">
        <v>69</v>
      </c>
      <c r="B71" s="10" t="s">
        <v>18</v>
      </c>
      <c r="C71" s="9" t="s">
        <v>43</v>
      </c>
      <c r="D71" s="10" t="s">
        <v>151</v>
      </c>
      <c r="G71" s="11" t="s">
        <v>129</v>
      </c>
      <c r="H71" s="9">
        <v>208</v>
      </c>
      <c r="I71" s="35"/>
      <c r="L71" s="15" t="s">
        <v>72</v>
      </c>
      <c r="M71" s="5">
        <f t="shared" si="2"/>
        <v>0</v>
      </c>
      <c r="N71" s="31"/>
      <c r="O71" s="5"/>
      <c r="P71" s="5"/>
      <c r="Q71" s="5"/>
    </row>
    <row r="72" spans="1:17" s="9" customFormat="1" ht="75" x14ac:dyDescent="0.25">
      <c r="A72" s="11">
        <v>70</v>
      </c>
      <c r="B72" s="10" t="s">
        <v>19</v>
      </c>
      <c r="C72" s="9" t="s">
        <v>43</v>
      </c>
      <c r="D72" s="10" t="s">
        <v>155</v>
      </c>
      <c r="G72" s="11" t="s">
        <v>129</v>
      </c>
      <c r="H72" s="9">
        <v>215</v>
      </c>
      <c r="I72" s="35"/>
      <c r="M72" s="5">
        <f t="shared" si="2"/>
        <v>0</v>
      </c>
      <c r="N72" s="31"/>
      <c r="O72" s="5"/>
      <c r="P72" s="5"/>
      <c r="Q72" s="5"/>
    </row>
    <row r="73" spans="1:17" s="9" customFormat="1" ht="75" x14ac:dyDescent="0.25">
      <c r="A73" s="11">
        <v>71</v>
      </c>
      <c r="B73" s="10" t="s">
        <v>20</v>
      </c>
      <c r="C73" s="9" t="s">
        <v>43</v>
      </c>
      <c r="D73" s="10" t="s">
        <v>152</v>
      </c>
      <c r="G73" s="11" t="s">
        <v>129</v>
      </c>
      <c r="H73" s="9">
        <v>220</v>
      </c>
      <c r="I73" s="35"/>
      <c r="M73" s="5">
        <f t="shared" si="2"/>
        <v>0</v>
      </c>
      <c r="N73" s="31"/>
      <c r="O73" s="5"/>
      <c r="P73" s="5"/>
      <c r="Q73" s="5"/>
    </row>
    <row r="74" spans="1:17" s="9" customFormat="1" ht="75" x14ac:dyDescent="0.25">
      <c r="A74" s="9">
        <v>72</v>
      </c>
      <c r="B74" s="10" t="s">
        <v>21</v>
      </c>
      <c r="C74" s="9" t="s">
        <v>43</v>
      </c>
      <c r="D74" s="10" t="s">
        <v>153</v>
      </c>
      <c r="G74" s="11" t="s">
        <v>129</v>
      </c>
      <c r="H74" s="9">
        <v>225</v>
      </c>
      <c r="I74" s="35"/>
      <c r="L74" s="9" t="s">
        <v>74</v>
      </c>
      <c r="M74" s="5">
        <f t="shared" si="2"/>
        <v>0</v>
      </c>
      <c r="N74" s="31"/>
      <c r="O74" s="5"/>
      <c r="P74" s="5"/>
      <c r="Q74" s="5"/>
    </row>
    <row r="75" spans="1:17" s="9" customFormat="1" ht="75" x14ac:dyDescent="0.25">
      <c r="A75" s="11">
        <v>73</v>
      </c>
      <c r="B75" s="10" t="s">
        <v>22</v>
      </c>
      <c r="C75" s="9" t="s">
        <v>43</v>
      </c>
      <c r="D75" s="10" t="s">
        <v>154</v>
      </c>
      <c r="G75" s="11" t="s">
        <v>129</v>
      </c>
      <c r="H75" s="9">
        <v>230</v>
      </c>
      <c r="I75" s="35"/>
      <c r="M75" s="5">
        <f t="shared" si="2"/>
        <v>0</v>
      </c>
      <c r="N75" s="31"/>
      <c r="O75" s="5"/>
      <c r="P75" s="5"/>
      <c r="Q75" s="5"/>
    </row>
    <row r="76" spans="1:17" s="9" customFormat="1" ht="75" x14ac:dyDescent="0.25">
      <c r="A76" s="11">
        <v>74</v>
      </c>
      <c r="B76" s="10" t="s">
        <v>23</v>
      </c>
      <c r="C76" s="9" t="s">
        <v>43</v>
      </c>
      <c r="D76" s="10" t="s">
        <v>156</v>
      </c>
      <c r="G76" s="11" t="s">
        <v>129</v>
      </c>
      <c r="H76" s="9">
        <v>235</v>
      </c>
      <c r="I76" s="35"/>
      <c r="M76" s="5">
        <f t="shared" si="2"/>
        <v>0</v>
      </c>
      <c r="N76" s="31"/>
      <c r="O76" s="5"/>
      <c r="P76" s="5"/>
      <c r="Q76" s="5"/>
    </row>
    <row r="77" spans="1:17" s="9" customFormat="1" ht="75" x14ac:dyDescent="0.25">
      <c r="A77" s="9">
        <v>75</v>
      </c>
      <c r="B77" s="10" t="s">
        <v>24</v>
      </c>
      <c r="C77" s="9" t="s">
        <v>43</v>
      </c>
      <c r="D77" s="10" t="s">
        <v>157</v>
      </c>
      <c r="G77" s="11" t="s">
        <v>129</v>
      </c>
      <c r="H77" s="9">
        <v>240</v>
      </c>
      <c r="I77" s="35"/>
      <c r="L77" s="14" t="s">
        <v>74</v>
      </c>
      <c r="M77" s="5">
        <f t="shared" si="2"/>
        <v>0</v>
      </c>
      <c r="N77" s="31"/>
      <c r="O77" s="5"/>
      <c r="P77" s="5"/>
      <c r="Q77" s="5"/>
    </row>
    <row r="78" spans="1:17" s="9" customFormat="1" ht="150" x14ac:dyDescent="0.25">
      <c r="A78" s="11">
        <v>76</v>
      </c>
      <c r="B78" s="28" t="s">
        <v>137</v>
      </c>
      <c r="C78" s="9" t="s">
        <v>43</v>
      </c>
      <c r="D78" s="10" t="s">
        <v>158</v>
      </c>
      <c r="G78" s="11" t="s">
        <v>129</v>
      </c>
      <c r="H78" s="9">
        <v>245</v>
      </c>
      <c r="I78" s="35"/>
      <c r="L78" s="14" t="s">
        <v>75</v>
      </c>
      <c r="M78" s="5">
        <f t="shared" si="2"/>
        <v>0</v>
      </c>
      <c r="N78" s="31"/>
      <c r="O78" s="5"/>
      <c r="P78" s="5"/>
      <c r="Q78" s="5"/>
    </row>
    <row r="79" spans="1:17" s="9" customFormat="1" ht="30" x14ac:dyDescent="0.25">
      <c r="A79" s="11">
        <v>77</v>
      </c>
      <c r="B79" s="23" t="s">
        <v>25</v>
      </c>
      <c r="C79" s="9" t="s">
        <v>43</v>
      </c>
      <c r="D79" s="10" t="s">
        <v>118</v>
      </c>
      <c r="G79" s="11" t="s">
        <v>129</v>
      </c>
      <c r="I79" s="35"/>
      <c r="L79" s="15" t="s">
        <v>76</v>
      </c>
      <c r="M79" s="5">
        <f t="shared" si="2"/>
        <v>0</v>
      </c>
      <c r="N79" s="31"/>
      <c r="O79" s="5"/>
      <c r="P79" s="5"/>
      <c r="Q79" s="5"/>
    </row>
    <row r="80" spans="1:17" s="9" customFormat="1" ht="30" x14ac:dyDescent="0.25">
      <c r="A80" s="9">
        <v>78</v>
      </c>
      <c r="B80" s="23" t="s">
        <v>26</v>
      </c>
      <c r="C80" s="9" t="s">
        <v>43</v>
      </c>
      <c r="D80" s="10">
        <v>0</v>
      </c>
      <c r="G80" s="11" t="s">
        <v>129</v>
      </c>
      <c r="I80" s="35"/>
      <c r="L80" s="15" t="s">
        <v>77</v>
      </c>
      <c r="M80" s="5">
        <f t="shared" si="2"/>
        <v>0</v>
      </c>
      <c r="N80" s="31"/>
      <c r="O80" s="5"/>
      <c r="P80" s="5"/>
      <c r="Q80" s="5"/>
    </row>
    <row r="81" spans="1:17" s="9" customFormat="1" x14ac:dyDescent="0.25">
      <c r="A81" s="11">
        <v>79</v>
      </c>
      <c r="B81" s="23" t="s">
        <v>27</v>
      </c>
      <c r="C81" s="9" t="s">
        <v>43</v>
      </c>
      <c r="D81" s="10" t="s">
        <v>118</v>
      </c>
      <c r="G81" s="11" t="s">
        <v>129</v>
      </c>
      <c r="I81" s="35"/>
      <c r="L81" s="14" t="s">
        <v>78</v>
      </c>
      <c r="M81" s="5">
        <f t="shared" si="2"/>
        <v>0</v>
      </c>
      <c r="N81" s="31"/>
      <c r="O81" s="5"/>
      <c r="P81" s="5"/>
      <c r="Q81" s="5"/>
    </row>
    <row r="82" spans="1:17" s="9" customFormat="1" ht="29.25" customHeight="1" x14ac:dyDescent="0.25">
      <c r="A82" s="11">
        <v>80</v>
      </c>
      <c r="B82" s="23" t="s">
        <v>28</v>
      </c>
      <c r="C82" s="9" t="s">
        <v>43</v>
      </c>
      <c r="D82" s="30" t="s">
        <v>159</v>
      </c>
      <c r="E82" s="9" t="s">
        <v>142</v>
      </c>
      <c r="F82" s="9" t="s">
        <v>57</v>
      </c>
      <c r="G82" s="11" t="s">
        <v>129</v>
      </c>
      <c r="I82" s="35"/>
      <c r="L82" s="15" t="s">
        <v>79</v>
      </c>
      <c r="M82" s="5">
        <f t="shared" si="2"/>
        <v>0</v>
      </c>
      <c r="N82" s="31"/>
      <c r="O82" s="5"/>
      <c r="P82" s="5"/>
      <c r="Q82" s="5"/>
    </row>
    <row r="83" spans="1:17" s="9" customFormat="1" x14ac:dyDescent="0.25">
      <c r="A83" s="9">
        <v>81</v>
      </c>
      <c r="B83" s="23" t="s">
        <v>29</v>
      </c>
      <c r="C83" s="9" t="s">
        <v>43</v>
      </c>
      <c r="D83" s="10"/>
      <c r="G83" s="11" t="s">
        <v>129</v>
      </c>
      <c r="I83" s="35"/>
      <c r="L83" s="15" t="s">
        <v>80</v>
      </c>
      <c r="M83" s="5">
        <f t="shared" si="2"/>
        <v>0</v>
      </c>
      <c r="N83" s="31"/>
      <c r="O83" s="5"/>
      <c r="P83" s="5"/>
      <c r="Q83" s="5"/>
    </row>
    <row r="84" spans="1:17" s="9" customFormat="1" x14ac:dyDescent="0.25">
      <c r="A84" s="11">
        <v>82</v>
      </c>
      <c r="B84" s="23" t="s">
        <v>30</v>
      </c>
      <c r="C84" s="9" t="s">
        <v>43</v>
      </c>
      <c r="D84" s="10"/>
      <c r="G84" s="11" t="s">
        <v>129</v>
      </c>
      <c r="I84" s="35"/>
      <c r="L84" s="15" t="s">
        <v>81</v>
      </c>
      <c r="M84" s="5">
        <f t="shared" si="2"/>
        <v>0</v>
      </c>
      <c r="N84" s="31"/>
      <c r="O84" s="5"/>
      <c r="P84" s="5"/>
      <c r="Q84" s="5"/>
    </row>
    <row r="85" spans="1:17" s="9" customFormat="1" x14ac:dyDescent="0.25">
      <c r="A85" s="11">
        <v>83</v>
      </c>
      <c r="B85" s="23" t="s">
        <v>138</v>
      </c>
      <c r="C85" s="9" t="s">
        <v>43</v>
      </c>
      <c r="D85" s="10"/>
      <c r="G85" s="11" t="s">
        <v>129</v>
      </c>
      <c r="I85" s="35"/>
      <c r="L85" s="15" t="s">
        <v>82</v>
      </c>
      <c r="M85" s="5">
        <f t="shared" si="2"/>
        <v>0</v>
      </c>
      <c r="N85" s="31"/>
      <c r="O85" s="5"/>
      <c r="P85" s="5"/>
      <c r="Q85" s="5"/>
    </row>
    <row r="86" spans="1:17" s="9" customFormat="1" ht="30" x14ac:dyDescent="0.25">
      <c r="A86" s="9">
        <v>84</v>
      </c>
      <c r="B86" s="23" t="s">
        <v>32</v>
      </c>
      <c r="C86" s="9" t="s">
        <v>43</v>
      </c>
      <c r="D86" s="10"/>
      <c r="G86" s="11" t="s">
        <v>129</v>
      </c>
      <c r="I86" s="35"/>
      <c r="L86" s="15" t="s">
        <v>83</v>
      </c>
      <c r="M86" s="5">
        <f t="shared" si="2"/>
        <v>0</v>
      </c>
      <c r="N86" s="31"/>
      <c r="O86" s="5"/>
      <c r="P86" s="5"/>
      <c r="Q86" s="5"/>
    </row>
    <row r="87" spans="1:17" s="9" customFormat="1" x14ac:dyDescent="0.25">
      <c r="A87" s="11">
        <v>85</v>
      </c>
      <c r="B87" s="23" t="s">
        <v>33</v>
      </c>
      <c r="C87" s="9" t="s">
        <v>43</v>
      </c>
      <c r="D87" s="10"/>
      <c r="G87" s="11" t="s">
        <v>129</v>
      </c>
      <c r="I87" s="35"/>
      <c r="L87" s="15" t="s">
        <v>84</v>
      </c>
      <c r="M87" s="5">
        <f t="shared" si="2"/>
        <v>0</v>
      </c>
      <c r="N87" s="31"/>
      <c r="O87" s="5"/>
      <c r="P87" s="5"/>
      <c r="Q87" s="5"/>
    </row>
    <row r="88" spans="1:17" s="9" customFormat="1" x14ac:dyDescent="0.25">
      <c r="A88" s="11">
        <v>86</v>
      </c>
      <c r="B88" s="23" t="s">
        <v>34</v>
      </c>
      <c r="C88" s="9" t="s">
        <v>43</v>
      </c>
      <c r="D88" s="10"/>
      <c r="G88" s="11" t="s">
        <v>129</v>
      </c>
      <c r="I88" s="35"/>
      <c r="L88" s="15" t="s">
        <v>85</v>
      </c>
      <c r="M88" s="5">
        <f t="shared" si="2"/>
        <v>0</v>
      </c>
      <c r="N88" s="31"/>
      <c r="O88" s="5"/>
      <c r="P88" s="5"/>
      <c r="Q88" s="5"/>
    </row>
    <row r="89" spans="1:17" s="9" customFormat="1" x14ac:dyDescent="0.25">
      <c r="A89" s="9">
        <v>87</v>
      </c>
      <c r="B89" s="23" t="s">
        <v>35</v>
      </c>
      <c r="C89" s="9" t="s">
        <v>43</v>
      </c>
      <c r="D89" s="10"/>
      <c r="G89" s="11" t="s">
        <v>129</v>
      </c>
      <c r="I89" s="35"/>
      <c r="L89" s="15" t="s">
        <v>86</v>
      </c>
      <c r="M89" s="5">
        <f t="shared" si="2"/>
        <v>0</v>
      </c>
      <c r="N89" s="31"/>
      <c r="O89" s="5"/>
      <c r="P89" s="5"/>
      <c r="Q89" s="5"/>
    </row>
    <row r="90" spans="1:17" s="9" customFormat="1" x14ac:dyDescent="0.25">
      <c r="A90" s="11">
        <v>88</v>
      </c>
      <c r="B90" s="23" t="s">
        <v>36</v>
      </c>
      <c r="C90" s="9" t="s">
        <v>43</v>
      </c>
      <c r="D90" s="10"/>
      <c r="G90" s="11" t="s">
        <v>129</v>
      </c>
      <c r="I90" s="35"/>
      <c r="L90" s="15" t="s">
        <v>87</v>
      </c>
      <c r="M90" s="5">
        <f t="shared" si="2"/>
        <v>0</v>
      </c>
      <c r="N90" s="31"/>
      <c r="O90" s="5"/>
      <c r="P90" s="5"/>
      <c r="Q90" s="5"/>
    </row>
    <row r="91" spans="1:17" s="9" customFormat="1" ht="30" x14ac:dyDescent="0.25">
      <c r="A91" s="11">
        <v>89</v>
      </c>
      <c r="B91" s="23" t="s">
        <v>37</v>
      </c>
      <c r="C91" s="9" t="s">
        <v>43</v>
      </c>
      <c r="D91" s="10"/>
      <c r="G91" s="11" t="s">
        <v>129</v>
      </c>
      <c r="I91" s="35"/>
      <c r="L91" s="15" t="s">
        <v>88</v>
      </c>
      <c r="M91" s="5">
        <f t="shared" si="2"/>
        <v>0</v>
      </c>
      <c r="N91" s="31"/>
      <c r="O91" s="5"/>
      <c r="P91" s="5"/>
      <c r="Q91" s="5"/>
    </row>
    <row r="92" spans="1:17" s="9" customFormat="1" ht="30" x14ac:dyDescent="0.25">
      <c r="A92" s="9">
        <v>90</v>
      </c>
      <c r="B92" s="23" t="s">
        <v>112</v>
      </c>
      <c r="C92" s="9" t="s">
        <v>43</v>
      </c>
      <c r="D92" s="10"/>
      <c r="G92" s="11" t="s">
        <v>129</v>
      </c>
      <c r="I92" s="35"/>
      <c r="L92" s="15" t="s">
        <v>89</v>
      </c>
      <c r="M92" s="5">
        <f t="shared" si="2"/>
        <v>0</v>
      </c>
      <c r="N92" s="31"/>
      <c r="O92" s="5"/>
      <c r="P92" s="5"/>
      <c r="Q92" s="5"/>
    </row>
    <row r="93" spans="1:17" s="9" customFormat="1" x14ac:dyDescent="0.25">
      <c r="A93" s="11">
        <v>91</v>
      </c>
      <c r="B93" s="23" t="s">
        <v>38</v>
      </c>
      <c r="C93" s="9" t="s">
        <v>43</v>
      </c>
      <c r="D93" s="10"/>
      <c r="G93" s="11" t="s">
        <v>129</v>
      </c>
      <c r="I93" s="35"/>
      <c r="L93" s="15" t="s">
        <v>90</v>
      </c>
      <c r="M93" s="5">
        <f t="shared" si="2"/>
        <v>0</v>
      </c>
      <c r="N93" s="31"/>
      <c r="O93" s="5"/>
      <c r="P93" s="5"/>
      <c r="Q93" s="5"/>
    </row>
    <row r="94" spans="1:17" s="9" customFormat="1" ht="30" x14ac:dyDescent="0.25">
      <c r="A94" s="11">
        <v>92</v>
      </c>
      <c r="B94" s="23" t="s">
        <v>39</v>
      </c>
      <c r="C94" s="9" t="s">
        <v>43</v>
      </c>
      <c r="D94" s="10"/>
      <c r="G94" s="11" t="s">
        <v>129</v>
      </c>
      <c r="I94" s="35"/>
      <c r="L94" s="15" t="s">
        <v>91</v>
      </c>
      <c r="M94" s="5">
        <f t="shared" si="2"/>
        <v>0</v>
      </c>
      <c r="N94" s="31"/>
      <c r="O94" s="5"/>
      <c r="P94" s="5"/>
      <c r="Q94" s="5"/>
    </row>
    <row r="95" spans="1:17" s="9" customFormat="1" ht="30" x14ac:dyDescent="0.25">
      <c r="A95" s="9">
        <v>93</v>
      </c>
      <c r="B95" s="23" t="s">
        <v>40</v>
      </c>
      <c r="C95" s="9" t="s">
        <v>43</v>
      </c>
      <c r="D95" s="10"/>
      <c r="G95" s="11" t="s">
        <v>129</v>
      </c>
      <c r="I95" s="35"/>
      <c r="L95" s="15" t="s">
        <v>92</v>
      </c>
      <c r="M95" s="5">
        <f t="shared" si="2"/>
        <v>0</v>
      </c>
      <c r="N95" s="31"/>
      <c r="O95" s="5"/>
      <c r="P95" s="5"/>
      <c r="Q95" s="5"/>
    </row>
    <row r="96" spans="1:17" s="9" customFormat="1" x14ac:dyDescent="0.25">
      <c r="A96" s="11">
        <v>94</v>
      </c>
      <c r="B96" s="23" t="s">
        <v>41</v>
      </c>
      <c r="C96" s="9" t="s">
        <v>43</v>
      </c>
      <c r="D96" s="10"/>
      <c r="G96" s="11" t="s">
        <v>129</v>
      </c>
      <c r="I96" s="35"/>
      <c r="L96" s="15" t="s">
        <v>93</v>
      </c>
      <c r="M96" s="5">
        <f t="shared" si="2"/>
        <v>0</v>
      </c>
      <c r="N96" s="31"/>
      <c r="O96" s="5"/>
      <c r="P96" s="5"/>
      <c r="Q96" s="5"/>
    </row>
    <row r="97" spans="1:17" s="7" customFormat="1" ht="15.75" thickBot="1" x14ac:dyDescent="0.3">
      <c r="A97" s="18">
        <v>95</v>
      </c>
      <c r="B97" s="25" t="s">
        <v>42</v>
      </c>
      <c r="C97" s="7" t="s">
        <v>43</v>
      </c>
      <c r="D97" s="8"/>
      <c r="G97" s="18" t="s">
        <v>129</v>
      </c>
      <c r="I97" s="36"/>
      <c r="L97" s="19" t="s">
        <v>94</v>
      </c>
      <c r="M97" s="5">
        <f t="shared" si="2"/>
        <v>0</v>
      </c>
      <c r="N97" s="32"/>
      <c r="O97" s="5"/>
      <c r="P97" s="5"/>
      <c r="Q97" s="5"/>
    </row>
    <row r="98" spans="1:17" s="9" customFormat="1" ht="15.75" thickBot="1" x14ac:dyDescent="0.3">
      <c r="A98" s="9">
        <v>96</v>
      </c>
      <c r="C98" s="32" t="s">
        <v>179</v>
      </c>
      <c r="D98" s="10"/>
      <c r="E98" s="9" t="s">
        <v>180</v>
      </c>
      <c r="N98" s="31"/>
      <c r="O98" s="5"/>
      <c r="P98" s="5"/>
      <c r="Q98" s="5"/>
    </row>
    <row r="99" spans="1:17" s="9" customFormat="1" x14ac:dyDescent="0.25">
      <c r="A99" s="11">
        <v>97</v>
      </c>
      <c r="C99" s="9" t="s">
        <v>180</v>
      </c>
      <c r="D99" s="10"/>
      <c r="E99" s="9" t="s">
        <v>181</v>
      </c>
      <c r="N99" s="31"/>
      <c r="O99" s="5"/>
      <c r="P99" s="5"/>
      <c r="Q99" s="5"/>
    </row>
    <row r="100" spans="1:17" s="9" customFormat="1" x14ac:dyDescent="0.25">
      <c r="A100" s="11">
        <v>98</v>
      </c>
      <c r="C100" s="9" t="s">
        <v>181</v>
      </c>
      <c r="D100" s="10"/>
      <c r="E100" s="9" t="s">
        <v>185</v>
      </c>
      <c r="N100" s="31"/>
      <c r="O100" s="5"/>
      <c r="P100" s="5"/>
      <c r="Q100" s="5"/>
    </row>
    <row r="101" spans="1:17" s="9" customFormat="1" x14ac:dyDescent="0.25">
      <c r="A101" s="9">
        <v>99</v>
      </c>
      <c r="C101" s="9" t="s">
        <v>182</v>
      </c>
      <c r="D101" s="10"/>
      <c r="E101" s="9" t="s">
        <v>181</v>
      </c>
      <c r="N101" s="31"/>
      <c r="O101" s="5"/>
      <c r="P101" s="5"/>
      <c r="Q101" s="5"/>
    </row>
    <row r="102" spans="1:17" s="9" customFormat="1" x14ac:dyDescent="0.25">
      <c r="A102" s="11">
        <v>100</v>
      </c>
      <c r="C102" s="9" t="s">
        <v>183</v>
      </c>
      <c r="D102" s="10"/>
      <c r="E102" s="9" t="s">
        <v>182</v>
      </c>
      <c r="N102" s="31"/>
      <c r="O102" s="5"/>
      <c r="P102" s="5"/>
      <c r="Q102" s="5"/>
    </row>
    <row r="103" spans="1:17" s="9" customFormat="1" x14ac:dyDescent="0.25">
      <c r="A103" s="11">
        <v>101</v>
      </c>
      <c r="C103" s="9" t="s">
        <v>184</v>
      </c>
      <c r="D103" s="10"/>
      <c r="E103" s="9" t="s">
        <v>182</v>
      </c>
      <c r="N103" s="31"/>
      <c r="O103" s="5"/>
      <c r="P103" s="5"/>
      <c r="Q103" s="5"/>
    </row>
    <row r="104" spans="1:17" s="9" customFormat="1" x14ac:dyDescent="0.25">
      <c r="A104" s="9">
        <v>102</v>
      </c>
      <c r="C104" s="9" t="s">
        <v>184</v>
      </c>
      <c r="D104" s="10"/>
      <c r="E104" s="9" t="s">
        <v>189</v>
      </c>
      <c r="N104" s="31"/>
      <c r="O104" s="5"/>
      <c r="P104" s="5"/>
      <c r="Q104" s="5"/>
    </row>
    <row r="105" spans="1:17" s="9" customFormat="1" x14ac:dyDescent="0.25">
      <c r="A105" s="11">
        <v>103</v>
      </c>
      <c r="C105" s="9" t="s">
        <v>185</v>
      </c>
      <c r="D105" s="10"/>
      <c r="E105" s="9" t="s">
        <v>184</v>
      </c>
      <c r="N105" s="31"/>
      <c r="P105" s="31"/>
    </row>
    <row r="106" spans="1:17" s="9" customFormat="1" x14ac:dyDescent="0.25">
      <c r="A106" s="11">
        <v>104</v>
      </c>
      <c r="C106" s="9" t="s">
        <v>185</v>
      </c>
      <c r="D106" s="10"/>
      <c r="E106" s="9" t="s">
        <v>187</v>
      </c>
      <c r="N106" s="31"/>
      <c r="P106" s="31"/>
    </row>
    <row r="107" spans="1:17" s="9" customFormat="1" x14ac:dyDescent="0.25">
      <c r="A107" s="9">
        <v>105</v>
      </c>
      <c r="C107" s="9" t="s">
        <v>186</v>
      </c>
      <c r="D107" s="10"/>
      <c r="E107" s="9" t="s">
        <v>180</v>
      </c>
      <c r="N107" s="31"/>
      <c r="P107" s="31"/>
    </row>
    <row r="108" spans="1:17" s="9" customFormat="1" x14ac:dyDescent="0.25">
      <c r="A108" s="11">
        <v>106</v>
      </c>
      <c r="C108" s="9" t="s">
        <v>187</v>
      </c>
      <c r="D108" s="10"/>
      <c r="E108" s="9" t="s">
        <v>188</v>
      </c>
      <c r="N108" s="31"/>
      <c r="P108" s="31"/>
    </row>
    <row r="109" spans="1:17" s="9" customFormat="1" x14ac:dyDescent="0.25">
      <c r="A109" s="11">
        <v>107</v>
      </c>
      <c r="C109" s="9" t="s">
        <v>187</v>
      </c>
      <c r="D109" s="10"/>
      <c r="E109" s="9" t="s">
        <v>186</v>
      </c>
      <c r="N109" s="31"/>
      <c r="P109" s="31"/>
    </row>
    <row r="110" spans="1:17" s="9" customFormat="1" x14ac:dyDescent="0.25">
      <c r="A110" s="9">
        <v>108</v>
      </c>
      <c r="C110" s="9" t="s">
        <v>188</v>
      </c>
      <c r="D110" s="10"/>
      <c r="E110" s="9" t="s">
        <v>186</v>
      </c>
      <c r="N110" s="31"/>
      <c r="P110" s="31"/>
    </row>
    <row r="111" spans="1:17" s="9" customFormat="1" x14ac:dyDescent="0.25">
      <c r="A111" s="11">
        <v>109</v>
      </c>
      <c r="C111" s="9" t="s">
        <v>189</v>
      </c>
      <c r="D111" s="10"/>
      <c r="E111" s="9" t="s">
        <v>188</v>
      </c>
      <c r="N111" s="31"/>
      <c r="P111" s="31"/>
    </row>
    <row r="112" spans="1:17" s="9" customFormat="1" x14ac:dyDescent="0.25">
      <c r="A112" s="11">
        <v>110</v>
      </c>
      <c r="D112" s="10"/>
      <c r="N112" s="31"/>
      <c r="P112" s="31"/>
    </row>
    <row r="113" spans="1:16" s="9" customFormat="1" x14ac:dyDescent="0.25">
      <c r="A113" s="9">
        <v>111</v>
      </c>
      <c r="D113" s="10"/>
      <c r="N113" s="31"/>
      <c r="P113" s="31"/>
    </row>
    <row r="114" spans="1:16" s="9" customFormat="1" x14ac:dyDescent="0.25">
      <c r="A114" s="11">
        <v>112</v>
      </c>
      <c r="D114" s="10"/>
      <c r="N114" s="31"/>
      <c r="P114" s="31"/>
    </row>
    <row r="115" spans="1:16" s="9" customFormat="1" x14ac:dyDescent="0.25">
      <c r="A115" s="11">
        <v>113</v>
      </c>
      <c r="D115" s="10"/>
      <c r="N115" s="31"/>
      <c r="P115" s="31"/>
    </row>
    <row r="116" spans="1:16" s="9" customFormat="1" x14ac:dyDescent="0.25">
      <c r="A116" s="9">
        <v>114</v>
      </c>
      <c r="D116" s="10"/>
      <c r="N116" s="31"/>
      <c r="P116" s="31"/>
    </row>
    <row r="117" spans="1:16" s="9" customFormat="1" x14ac:dyDescent="0.25">
      <c r="A117" s="11">
        <v>115</v>
      </c>
      <c r="D117" s="10"/>
      <c r="N117" s="31"/>
      <c r="P117" s="31"/>
    </row>
    <row r="118" spans="1:16" s="9" customFormat="1" x14ac:dyDescent="0.25">
      <c r="A118" s="11">
        <v>116</v>
      </c>
      <c r="D118" s="10"/>
      <c r="N118" s="31"/>
      <c r="P118" s="31"/>
    </row>
    <row r="119" spans="1:16" s="9" customFormat="1" x14ac:dyDescent="0.25">
      <c r="A119" s="9">
        <v>117</v>
      </c>
      <c r="D119" s="10"/>
      <c r="N119" s="31"/>
      <c r="P119" s="31"/>
    </row>
    <row r="120" spans="1:16" s="9" customFormat="1" x14ac:dyDescent="0.25">
      <c r="A120" s="11">
        <v>118</v>
      </c>
      <c r="D120" s="10"/>
      <c r="N120" s="31"/>
      <c r="P120" s="31"/>
    </row>
    <row r="121" spans="1:16" s="9" customFormat="1" x14ac:dyDescent="0.25">
      <c r="A121" s="11">
        <v>119</v>
      </c>
      <c r="D121" s="10"/>
      <c r="N121" s="31"/>
      <c r="P121" s="31"/>
    </row>
    <row r="122" spans="1:16" s="9" customFormat="1" x14ac:dyDescent="0.25">
      <c r="A122" s="9">
        <v>120</v>
      </c>
      <c r="D122" s="10"/>
      <c r="N122" s="31"/>
      <c r="P122" s="31"/>
    </row>
    <row r="123" spans="1:16" s="9" customFormat="1" x14ac:dyDescent="0.25">
      <c r="A123" s="11">
        <v>121</v>
      </c>
      <c r="D123" s="10"/>
      <c r="N123" s="31"/>
      <c r="P123" s="31"/>
    </row>
    <row r="124" spans="1:16" s="9" customFormat="1" x14ac:dyDescent="0.25">
      <c r="A124" s="11">
        <v>122</v>
      </c>
      <c r="D124" s="10"/>
      <c r="N124" s="31"/>
      <c r="P124" s="31"/>
    </row>
    <row r="125" spans="1:16" s="9" customFormat="1" x14ac:dyDescent="0.25">
      <c r="A125" s="9">
        <v>123</v>
      </c>
      <c r="D125" s="10"/>
      <c r="N125" s="31"/>
      <c r="P125" s="31"/>
    </row>
    <row r="126" spans="1:16" s="9" customFormat="1" x14ac:dyDescent="0.25">
      <c r="A126" s="11">
        <v>124</v>
      </c>
      <c r="D126" s="10"/>
      <c r="N126" s="31"/>
      <c r="P126" s="31"/>
    </row>
    <row r="127" spans="1:16" s="9" customFormat="1" x14ac:dyDescent="0.25">
      <c r="A127" s="11">
        <v>125</v>
      </c>
      <c r="D127" s="10"/>
      <c r="N127" s="31"/>
      <c r="P127" s="31"/>
    </row>
    <row r="128" spans="1:16" s="9" customFormat="1" x14ac:dyDescent="0.25">
      <c r="A128" s="9">
        <v>126</v>
      </c>
      <c r="D128" s="10"/>
      <c r="N128" s="31"/>
      <c r="P128" s="31"/>
    </row>
    <row r="129" spans="1:16" s="9" customFormat="1" x14ac:dyDescent="0.25">
      <c r="A129" s="11">
        <v>127</v>
      </c>
      <c r="D129" s="10"/>
      <c r="N129" s="31"/>
      <c r="P129" s="31"/>
    </row>
    <row r="130" spans="1:16" s="9" customFormat="1" x14ac:dyDescent="0.25">
      <c r="A130" s="11">
        <v>128</v>
      </c>
      <c r="D130" s="10"/>
      <c r="N130" s="31"/>
      <c r="P130" s="31"/>
    </row>
    <row r="131" spans="1:16" s="9" customFormat="1" x14ac:dyDescent="0.25">
      <c r="A131" s="9">
        <v>129</v>
      </c>
      <c r="D131" s="10"/>
      <c r="N131" s="31"/>
      <c r="P131" s="31"/>
    </row>
    <row r="132" spans="1:16" s="9" customFormat="1" x14ac:dyDescent="0.25">
      <c r="A132" s="11">
        <v>130</v>
      </c>
      <c r="D132" s="10"/>
      <c r="N132" s="31"/>
      <c r="P132" s="31"/>
    </row>
    <row r="133" spans="1:16" s="9" customFormat="1" x14ac:dyDescent="0.25">
      <c r="A133" s="11">
        <v>131</v>
      </c>
      <c r="D133" s="10"/>
      <c r="N133" s="31"/>
      <c r="P133" s="31"/>
    </row>
    <row r="134" spans="1:16" s="9" customFormat="1" x14ac:dyDescent="0.25">
      <c r="A134" s="9">
        <v>132</v>
      </c>
      <c r="D134" s="10"/>
      <c r="N134" s="31"/>
      <c r="P134" s="31"/>
    </row>
    <row r="135" spans="1:16" x14ac:dyDescent="0.25">
      <c r="A135" s="11">
        <v>133</v>
      </c>
    </row>
  </sheetData>
  <mergeCells count="11">
    <mergeCell ref="I6:I8"/>
    <mergeCell ref="I9:I11"/>
    <mergeCell ref="I12:I14"/>
    <mergeCell ref="I52:I54"/>
    <mergeCell ref="I3:I5"/>
    <mergeCell ref="I15:I48"/>
    <mergeCell ref="I64:I97"/>
    <mergeCell ref="I55:I57"/>
    <mergeCell ref="I58:I60"/>
    <mergeCell ref="I61:I63"/>
    <mergeCell ref="I49:I51"/>
  </mergeCells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Диаграмма"/>
  <dimension ref="A2:A22"/>
  <sheetViews>
    <sheetView tabSelected="1" workbookViewId="0">
      <selection activeCell="A14" sqref="A14"/>
    </sheetView>
  </sheetViews>
  <sheetFormatPr defaultRowHeight="15" x14ac:dyDescent="0.25"/>
  <cols>
    <col min="1" max="1" width="0.85546875" style="33" customWidth="1"/>
    <col min="2" max="16384" width="9.140625" style="33"/>
  </cols>
  <sheetData>
    <row r="2" spans="1:1" x14ac:dyDescent="0.25">
      <c r="A2" s="33" t="s">
        <v>190</v>
      </c>
    </row>
    <row r="3" spans="1:1" x14ac:dyDescent="0.25">
      <c r="A3" s="33" t="s">
        <v>191</v>
      </c>
    </row>
    <row r="4" spans="1:1" x14ac:dyDescent="0.25">
      <c r="A4" s="33" t="s">
        <v>192</v>
      </c>
    </row>
    <row r="5" spans="1:1" x14ac:dyDescent="0.25">
      <c r="A5" s="33" t="s">
        <v>193</v>
      </c>
    </row>
    <row r="6" spans="1:1" x14ac:dyDescent="0.25">
      <c r="A6" s="33" t="s">
        <v>194</v>
      </c>
    </row>
    <row r="7" spans="1:1" x14ac:dyDescent="0.25">
      <c r="A7" s="33" t="s">
        <v>195</v>
      </c>
    </row>
    <row r="8" spans="1:1" x14ac:dyDescent="0.25">
      <c r="A8" s="33" t="s">
        <v>196</v>
      </c>
    </row>
    <row r="9" spans="1:1" x14ac:dyDescent="0.25">
      <c r="A9" s="33" t="s">
        <v>197</v>
      </c>
    </row>
    <row r="10" spans="1:1" x14ac:dyDescent="0.25">
      <c r="A10" s="33" t="s">
        <v>198</v>
      </c>
    </row>
    <row r="11" spans="1:1" x14ac:dyDescent="0.25">
      <c r="A11" s="33" t="s">
        <v>199</v>
      </c>
    </row>
    <row r="12" spans="1:1" x14ac:dyDescent="0.25">
      <c r="A12" s="33" t="s">
        <v>200</v>
      </c>
    </row>
    <row r="13" spans="1:1" x14ac:dyDescent="0.25">
      <c r="A13" s="33" t="s">
        <v>201</v>
      </c>
    </row>
    <row r="14" spans="1:1" x14ac:dyDescent="0.25">
      <c r="A14" s="33" t="s">
        <v>202</v>
      </c>
    </row>
    <row r="15" spans="1:1" x14ac:dyDescent="0.25">
      <c r="A15" s="33" t="s">
        <v>203</v>
      </c>
    </row>
    <row r="16" spans="1:1" x14ac:dyDescent="0.25">
      <c r="A16" s="33" t="s">
        <v>204</v>
      </c>
    </row>
    <row r="17" spans="1:1" x14ac:dyDescent="0.25">
      <c r="A17" s="33" t="s">
        <v>205</v>
      </c>
    </row>
    <row r="18" spans="1:1" x14ac:dyDescent="0.25">
      <c r="A18" s="33" t="s">
        <v>206</v>
      </c>
    </row>
    <row r="19" spans="1:1" x14ac:dyDescent="0.25">
      <c r="A19" s="33" t="s">
        <v>207</v>
      </c>
    </row>
    <row r="20" spans="1:1" x14ac:dyDescent="0.25">
      <c r="A20" s="33" t="s">
        <v>208</v>
      </c>
    </row>
    <row r="21" spans="1:1" x14ac:dyDescent="0.25">
      <c r="A21" s="33" t="s">
        <v>209</v>
      </c>
    </row>
    <row r="22" spans="1:1" x14ac:dyDescent="0.25">
      <c r="A22" s="33" t="s">
        <v>210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таблицаЗависимостей"/>
  <dimension ref="A1:BP24"/>
  <sheetViews>
    <sheetView workbookViewId="0">
      <selection sqref="A1:A1048576"/>
    </sheetView>
  </sheetViews>
  <sheetFormatPr defaultRowHeight="15" x14ac:dyDescent="0.25"/>
  <cols>
    <col min="1" max="1" width="15.42578125" bestFit="1" customWidth="1"/>
    <col min="2" max="2" width="10.140625" bestFit="1" customWidth="1"/>
    <col min="3" max="3" width="8.7109375" bestFit="1" customWidth="1"/>
    <col min="4" max="4" width="8.28515625" bestFit="1" customWidth="1"/>
    <col min="5" max="5" width="11.7109375" bestFit="1" customWidth="1"/>
    <col min="6" max="6" width="15.42578125" bestFit="1" customWidth="1"/>
    <col min="7" max="7" width="11" bestFit="1" customWidth="1"/>
    <col min="8" max="8" width="6.140625" bestFit="1" customWidth="1"/>
    <col min="9" max="9" width="10" bestFit="1" customWidth="1"/>
    <col min="10" max="10" width="9.5703125" bestFit="1" customWidth="1"/>
    <col min="11" max="11" width="11.5703125" bestFit="1" customWidth="1"/>
    <col min="12" max="68" width="2" bestFit="1" customWidth="1"/>
  </cols>
  <sheetData>
    <row r="1" spans="1:68" x14ac:dyDescent="0.25">
      <c r="A1" t="s">
        <v>178</v>
      </c>
      <c r="B1">
        <v>2</v>
      </c>
      <c r="C1">
        <v>1</v>
      </c>
      <c r="D1">
        <v>2</v>
      </c>
      <c r="E1">
        <v>1</v>
      </c>
      <c r="F1">
        <v>2</v>
      </c>
      <c r="G1">
        <v>2</v>
      </c>
      <c r="H1">
        <v>2</v>
      </c>
      <c r="I1">
        <v>1</v>
      </c>
      <c r="J1">
        <v>2</v>
      </c>
      <c r="K1">
        <v>2</v>
      </c>
      <c r="L1">
        <v>2</v>
      </c>
      <c r="M1">
        <v>1</v>
      </c>
      <c r="N1">
        <v>3</v>
      </c>
      <c r="O1">
        <v>4</v>
      </c>
      <c r="P1">
        <v>6</v>
      </c>
      <c r="Q1">
        <v>1</v>
      </c>
      <c r="R1">
        <v>5</v>
      </c>
      <c r="S1">
        <v>6</v>
      </c>
      <c r="T1">
        <v>5</v>
      </c>
      <c r="U1">
        <v>8</v>
      </c>
      <c r="V1">
        <v>7</v>
      </c>
    </row>
    <row r="2" spans="1:68" x14ac:dyDescent="0.25">
      <c r="A2" t="s">
        <v>177</v>
      </c>
      <c r="B2">
        <f>COUNTA(B4:B101)</f>
        <v>0</v>
      </c>
      <c r="C2">
        <f t="shared" ref="C2:BN2" si="0">COUNTA(C4:C101)</f>
        <v>1</v>
      </c>
      <c r="D2">
        <f t="shared" si="0"/>
        <v>0</v>
      </c>
      <c r="E2">
        <f t="shared" si="0"/>
        <v>5</v>
      </c>
      <c r="F2">
        <f t="shared" si="0"/>
        <v>0</v>
      </c>
      <c r="G2">
        <f t="shared" si="0"/>
        <v>0</v>
      </c>
      <c r="H2">
        <f t="shared" si="0"/>
        <v>0</v>
      </c>
      <c r="I2">
        <f t="shared" si="0"/>
        <v>1</v>
      </c>
      <c r="J2">
        <f t="shared" si="0"/>
        <v>0</v>
      </c>
      <c r="K2">
        <f>COUNTA(K4:K101)</f>
        <v>0</v>
      </c>
      <c r="L2">
        <f t="shared" si="0"/>
        <v>1</v>
      </c>
      <c r="M2">
        <f t="shared" si="0"/>
        <v>1</v>
      </c>
      <c r="N2">
        <f t="shared" si="0"/>
        <v>1</v>
      </c>
      <c r="O2">
        <f t="shared" si="0"/>
        <v>2</v>
      </c>
      <c r="P2">
        <f t="shared" si="0"/>
        <v>1</v>
      </c>
      <c r="Q2">
        <f t="shared" si="0"/>
        <v>1</v>
      </c>
      <c r="R2">
        <f t="shared" si="0"/>
        <v>2</v>
      </c>
      <c r="S2">
        <f t="shared" si="0"/>
        <v>1</v>
      </c>
      <c r="T2">
        <f t="shared" si="0"/>
        <v>2</v>
      </c>
      <c r="U2">
        <f t="shared" si="0"/>
        <v>1</v>
      </c>
      <c r="V2">
        <f t="shared" si="0"/>
        <v>1</v>
      </c>
      <c r="W2">
        <f t="shared" si="0"/>
        <v>0</v>
      </c>
      <c r="X2">
        <f t="shared" si="0"/>
        <v>0</v>
      </c>
      <c r="Y2">
        <f t="shared" si="0"/>
        <v>0</v>
      </c>
      <c r="Z2">
        <f t="shared" si="0"/>
        <v>0</v>
      </c>
      <c r="AA2">
        <f t="shared" si="0"/>
        <v>0</v>
      </c>
      <c r="AB2">
        <f t="shared" si="0"/>
        <v>0</v>
      </c>
      <c r="AC2">
        <f t="shared" si="0"/>
        <v>0</v>
      </c>
      <c r="AD2">
        <f t="shared" si="0"/>
        <v>0</v>
      </c>
      <c r="AE2">
        <f t="shared" si="0"/>
        <v>0</v>
      </c>
      <c r="AF2">
        <f t="shared" si="0"/>
        <v>0</v>
      </c>
      <c r="AG2">
        <f t="shared" si="0"/>
        <v>0</v>
      </c>
      <c r="AH2">
        <f t="shared" si="0"/>
        <v>0</v>
      </c>
      <c r="AI2">
        <f t="shared" si="0"/>
        <v>0</v>
      </c>
      <c r="AJ2">
        <f t="shared" si="0"/>
        <v>0</v>
      </c>
      <c r="AK2">
        <f t="shared" si="0"/>
        <v>0</v>
      </c>
      <c r="AL2">
        <f t="shared" si="0"/>
        <v>0</v>
      </c>
      <c r="AM2">
        <f t="shared" si="0"/>
        <v>0</v>
      </c>
      <c r="AN2">
        <f t="shared" si="0"/>
        <v>0</v>
      </c>
      <c r="AO2">
        <f t="shared" si="0"/>
        <v>0</v>
      </c>
      <c r="AP2">
        <f t="shared" si="0"/>
        <v>0</v>
      </c>
      <c r="AQ2">
        <f t="shared" si="0"/>
        <v>0</v>
      </c>
      <c r="AR2">
        <f t="shared" si="0"/>
        <v>0</v>
      </c>
      <c r="AS2">
        <f t="shared" si="0"/>
        <v>0</v>
      </c>
      <c r="AT2">
        <f t="shared" si="0"/>
        <v>0</v>
      </c>
      <c r="AU2">
        <f t="shared" si="0"/>
        <v>0</v>
      </c>
      <c r="AV2">
        <f t="shared" si="0"/>
        <v>0</v>
      </c>
      <c r="AW2">
        <f t="shared" si="0"/>
        <v>0</v>
      </c>
      <c r="AX2">
        <f t="shared" si="0"/>
        <v>0</v>
      </c>
      <c r="AY2">
        <f t="shared" si="0"/>
        <v>0</v>
      </c>
      <c r="AZ2">
        <f t="shared" si="0"/>
        <v>0</v>
      </c>
      <c r="BA2">
        <f t="shared" si="0"/>
        <v>0</v>
      </c>
      <c r="BB2">
        <f t="shared" si="0"/>
        <v>0</v>
      </c>
      <c r="BC2">
        <f t="shared" si="0"/>
        <v>0</v>
      </c>
      <c r="BD2">
        <f t="shared" si="0"/>
        <v>0</v>
      </c>
      <c r="BE2">
        <f t="shared" si="0"/>
        <v>0</v>
      </c>
      <c r="BF2">
        <f t="shared" si="0"/>
        <v>0</v>
      </c>
      <c r="BG2">
        <f t="shared" si="0"/>
        <v>0</v>
      </c>
      <c r="BH2">
        <f t="shared" si="0"/>
        <v>0</v>
      </c>
      <c r="BI2">
        <f t="shared" si="0"/>
        <v>0</v>
      </c>
      <c r="BJ2">
        <f t="shared" si="0"/>
        <v>0</v>
      </c>
      <c r="BK2">
        <f t="shared" si="0"/>
        <v>0</v>
      </c>
      <c r="BL2">
        <f t="shared" si="0"/>
        <v>0</v>
      </c>
      <c r="BM2">
        <f t="shared" si="0"/>
        <v>0</v>
      </c>
      <c r="BN2">
        <f t="shared" si="0"/>
        <v>0</v>
      </c>
      <c r="BO2">
        <f t="shared" ref="BO2:BP2" si="1">COUNTA(BO4:BO101)</f>
        <v>0</v>
      </c>
      <c r="BP2">
        <f t="shared" si="1"/>
        <v>0</v>
      </c>
    </row>
    <row r="3" spans="1:68" x14ac:dyDescent="0.25">
      <c r="A3" t="s">
        <v>175</v>
      </c>
      <c r="B3" t="s">
        <v>10</v>
      </c>
      <c r="C3" t="s">
        <v>7</v>
      </c>
      <c r="D3" t="s">
        <v>44</v>
      </c>
      <c r="E3" t="s">
        <v>43</v>
      </c>
      <c r="F3" t="s">
        <v>62</v>
      </c>
      <c r="G3" t="s">
        <v>119</v>
      </c>
      <c r="H3" t="s">
        <v>125</v>
      </c>
      <c r="I3" t="s">
        <v>122</v>
      </c>
      <c r="J3" t="s">
        <v>142</v>
      </c>
      <c r="K3" t="s">
        <v>143</v>
      </c>
      <c r="L3" t="s">
        <v>180</v>
      </c>
      <c r="M3" t="s">
        <v>179</v>
      </c>
      <c r="N3" t="s">
        <v>181</v>
      </c>
      <c r="O3" t="s">
        <v>185</v>
      </c>
      <c r="P3" t="s">
        <v>182</v>
      </c>
      <c r="Q3" t="s">
        <v>183</v>
      </c>
      <c r="R3" t="s">
        <v>184</v>
      </c>
      <c r="S3" t="s">
        <v>189</v>
      </c>
      <c r="T3" t="s">
        <v>187</v>
      </c>
      <c r="U3" t="s">
        <v>186</v>
      </c>
      <c r="V3" t="s">
        <v>188</v>
      </c>
    </row>
    <row r="4" spans="1:68" x14ac:dyDescent="0.25">
      <c r="A4" t="s">
        <v>10</v>
      </c>
      <c r="C4" t="s">
        <v>176</v>
      </c>
    </row>
    <row r="5" spans="1:68" x14ac:dyDescent="0.25">
      <c r="A5" t="s">
        <v>7</v>
      </c>
    </row>
    <row r="6" spans="1:68" x14ac:dyDescent="0.25">
      <c r="A6" t="s">
        <v>44</v>
      </c>
      <c r="E6" t="s">
        <v>176</v>
      </c>
    </row>
    <row r="7" spans="1:68" x14ac:dyDescent="0.25">
      <c r="A7" t="s">
        <v>43</v>
      </c>
    </row>
    <row r="8" spans="1:68" x14ac:dyDescent="0.25">
      <c r="A8" t="s">
        <v>62</v>
      </c>
      <c r="E8" t="s">
        <v>176</v>
      </c>
    </row>
    <row r="9" spans="1:68" x14ac:dyDescent="0.25">
      <c r="A9" t="s">
        <v>119</v>
      </c>
      <c r="E9" t="s">
        <v>176</v>
      </c>
    </row>
    <row r="10" spans="1:68" x14ac:dyDescent="0.25">
      <c r="A10" t="s">
        <v>125</v>
      </c>
      <c r="I10" t="s">
        <v>176</v>
      </c>
    </row>
    <row r="11" spans="1:68" x14ac:dyDescent="0.25">
      <c r="A11" t="s">
        <v>122</v>
      </c>
    </row>
    <row r="12" spans="1:68" x14ac:dyDescent="0.25">
      <c r="A12" t="s">
        <v>142</v>
      </c>
      <c r="E12" t="s">
        <v>176</v>
      </c>
    </row>
    <row r="13" spans="1:68" x14ac:dyDescent="0.25">
      <c r="A13" t="s">
        <v>143</v>
      </c>
      <c r="E13" t="s">
        <v>176</v>
      </c>
    </row>
    <row r="14" spans="1:68" x14ac:dyDescent="0.25">
      <c r="A14" t="s">
        <v>180</v>
      </c>
      <c r="M14" t="s">
        <v>176</v>
      </c>
      <c r="U14" t="s">
        <v>176</v>
      </c>
    </row>
    <row r="15" spans="1:68" x14ac:dyDescent="0.25">
      <c r="A15" t="s">
        <v>179</v>
      </c>
    </row>
    <row r="16" spans="1:68" x14ac:dyDescent="0.25">
      <c r="A16" t="s">
        <v>181</v>
      </c>
      <c r="L16" t="s">
        <v>176</v>
      </c>
      <c r="P16" t="s">
        <v>176</v>
      </c>
    </row>
    <row r="17" spans="1:22" x14ac:dyDescent="0.25">
      <c r="A17" t="s">
        <v>185</v>
      </c>
      <c r="N17" t="s">
        <v>176</v>
      </c>
    </row>
    <row r="18" spans="1:22" x14ac:dyDescent="0.25">
      <c r="A18" t="s">
        <v>182</v>
      </c>
      <c r="Q18" t="s">
        <v>176</v>
      </c>
      <c r="R18" t="s">
        <v>176</v>
      </c>
    </row>
    <row r="19" spans="1:22" x14ac:dyDescent="0.25">
      <c r="A19" t="s">
        <v>183</v>
      </c>
    </row>
    <row r="20" spans="1:22" x14ac:dyDescent="0.25">
      <c r="A20" t="s">
        <v>184</v>
      </c>
      <c r="O20" t="s">
        <v>176</v>
      </c>
    </row>
    <row r="21" spans="1:22" x14ac:dyDescent="0.25">
      <c r="A21" t="s">
        <v>189</v>
      </c>
      <c r="R21" t="s">
        <v>176</v>
      </c>
    </row>
    <row r="22" spans="1:22" x14ac:dyDescent="0.25">
      <c r="A22" t="s">
        <v>187</v>
      </c>
      <c r="O22" t="s">
        <v>176</v>
      </c>
    </row>
    <row r="23" spans="1:22" x14ac:dyDescent="0.25">
      <c r="A23" t="s">
        <v>186</v>
      </c>
      <c r="T23" t="s">
        <v>176</v>
      </c>
      <c r="V23" t="s">
        <v>176</v>
      </c>
    </row>
    <row r="24" spans="1:22" x14ac:dyDescent="0.25">
      <c r="A24" t="s">
        <v>188</v>
      </c>
      <c r="S24" t="s">
        <v>176</v>
      </c>
      <c r="T24" t="s">
        <v>176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Диаграмма</vt:lpstr>
      <vt:lpstr>таблицаЗависимостей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ℕ𝕊𝕙𝕒𝕘𝕦𝕖𝕧𝕒</dc:creator>
  <cp:lastModifiedBy>Михаил Виниченко</cp:lastModifiedBy>
  <dcterms:created xsi:type="dcterms:W3CDTF">2015-08-19T15:20:16Z</dcterms:created>
  <dcterms:modified xsi:type="dcterms:W3CDTF">2015-08-27T20:01:39Z</dcterms:modified>
</cp:coreProperties>
</file>